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801" codeName="{4D1C537B-E38A-612A-F078-A93A15B4B7F4}"/>
  <workbookPr codeName="DieseArbeitsmappe" defaultThemeVersion="124226"/>
  <mc:AlternateContent xmlns:mc="http://schemas.openxmlformats.org/markup-compatibility/2006">
    <mc:Choice Requires="x15">
      <x15ac:absPath xmlns:x15ac="http://schemas.microsoft.com/office/spreadsheetml/2010/11/ac" url="D:\Users\BKU\EugenEGabriel\Deutsche Bahn\Datenanalyse I.SPP - Dokumente\07 Analysen\210914-1 Wertungsmatrix HFT Beschaffung\input\app\"/>
    </mc:Choice>
  </mc:AlternateContent>
  <xr:revisionPtr revIDLastSave="0" documentId="13_ncr:1_{5B3CDB79-8079-4B2A-9A53-F60121D33054}" xr6:coauthVersionLast="46" xr6:coauthVersionMax="47" xr10:uidLastSave="{00000000-0000-0000-0000-000000000000}"/>
  <bookViews>
    <workbookView xWindow="-28908" yWindow="-2040" windowWidth="29016" windowHeight="17616" firstSheet="3" activeTab="8" xr2:uid="{00000000-000D-0000-FFFF-FFFF00000000}"/>
  </bookViews>
  <sheets>
    <sheet name="Anwendungshinweis" sheetId="12" r:id="rId1"/>
    <sheet name="Wertungsmatrix" sheetId="4" r:id="rId2"/>
    <sheet name="Berechnungsbeispiel" sheetId="9" r:id="rId3"/>
    <sheet name="Kriterium Preis" sheetId="13" r:id="rId4"/>
    <sheet name="Block 1" sheetId="14" r:id="rId5"/>
    <sheet name="Block 2" sheetId="15" r:id="rId6"/>
    <sheet name="Block 3" sheetId="16" r:id="rId7"/>
    <sheet name="Block 4" sheetId="17" r:id="rId8"/>
    <sheet name="Block 5" sheetId="18" r:id="rId9"/>
    <sheet name="Wertungsmatrix Reserve" sheetId="11" state="hidden" r:id="rId10"/>
  </sheets>
  <definedNames>
    <definedName name="_xlnm._FilterDatabase" localSheetId="3" hidden="1">'Kriterium Preis'!$A$2:$I$50</definedName>
    <definedName name="_xlnm.Print_Area" localSheetId="0">Anwendungshinweis!$A$2:$N$30</definedName>
    <definedName name="_xlnm.Print_Area" localSheetId="2">Berechnungsbeispiel!$A$1:$X$21</definedName>
    <definedName name="_xlnm.Print_Area" localSheetId="3">'Kriterium Preis'!$A$1:$T$260</definedName>
    <definedName name="_xlnm.Print_Area" localSheetId="1">Wertungsmatrix!$A$1:$J$34</definedName>
    <definedName name="_xlnm.Print_Area" localSheetId="9">'Wertungsmatrix Reserve'!$B$5:$K$41</definedName>
    <definedName name="_xlnm.Print_Titles" localSheetId="1">Wertungsmatrix!$6:$6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249" i="13" l="1"/>
  <c r="R249" i="13"/>
  <c r="P249" i="13"/>
  <c r="N249" i="13"/>
  <c r="L249" i="13"/>
  <c r="T248" i="13"/>
  <c r="R248" i="13"/>
  <c r="P248" i="13"/>
  <c r="N248" i="13"/>
  <c r="L248" i="13"/>
  <c r="T247" i="13"/>
  <c r="R247" i="13"/>
  <c r="P247" i="13"/>
  <c r="N247" i="13"/>
  <c r="L247" i="13"/>
  <c r="T246" i="13"/>
  <c r="R246" i="13"/>
  <c r="P246" i="13"/>
  <c r="N246" i="13"/>
  <c r="L246" i="13"/>
  <c r="T245" i="13"/>
  <c r="R245" i="13"/>
  <c r="P245" i="13"/>
  <c r="N245" i="13"/>
  <c r="L245" i="13"/>
  <c r="T244" i="13"/>
  <c r="R244" i="13"/>
  <c r="P244" i="13"/>
  <c r="N244" i="13"/>
  <c r="L244" i="13"/>
  <c r="T243" i="13"/>
  <c r="R243" i="13"/>
  <c r="P243" i="13"/>
  <c r="N243" i="13"/>
  <c r="L243" i="13"/>
  <c r="T242" i="13"/>
  <c r="R242" i="13"/>
  <c r="P242" i="13"/>
  <c r="N242" i="13"/>
  <c r="L242" i="13"/>
  <c r="T241" i="13"/>
  <c r="R241" i="13"/>
  <c r="P241" i="13"/>
  <c r="N241" i="13"/>
  <c r="L241" i="13"/>
  <c r="T240" i="13"/>
  <c r="R240" i="13"/>
  <c r="P240" i="13"/>
  <c r="N240" i="13"/>
  <c r="L240" i="13"/>
  <c r="T239" i="13"/>
  <c r="R239" i="13"/>
  <c r="P239" i="13"/>
  <c r="N239" i="13"/>
  <c r="L239" i="13"/>
  <c r="T238" i="13"/>
  <c r="R238" i="13"/>
  <c r="P238" i="13"/>
  <c r="N238" i="13"/>
  <c r="L238" i="13"/>
  <c r="T237" i="13"/>
  <c r="R237" i="13"/>
  <c r="P237" i="13"/>
  <c r="N237" i="13"/>
  <c r="L237" i="13"/>
  <c r="T236" i="13"/>
  <c r="R236" i="13"/>
  <c r="P236" i="13"/>
  <c r="N236" i="13"/>
  <c r="L236" i="13"/>
  <c r="T235" i="13"/>
  <c r="R235" i="13"/>
  <c r="P235" i="13"/>
  <c r="N235" i="13"/>
  <c r="L235" i="13"/>
  <c r="T234" i="13"/>
  <c r="R234" i="13"/>
  <c r="P234" i="13"/>
  <c r="N234" i="13"/>
  <c r="L234" i="13"/>
  <c r="T233" i="13"/>
  <c r="R233" i="13"/>
  <c r="P233" i="13"/>
  <c r="N233" i="13"/>
  <c r="L233" i="13"/>
  <c r="T232" i="13"/>
  <c r="R232" i="13"/>
  <c r="P232" i="13"/>
  <c r="N232" i="13"/>
  <c r="L232" i="13"/>
  <c r="T231" i="13"/>
  <c r="R231" i="13"/>
  <c r="P231" i="13"/>
  <c r="N231" i="13"/>
  <c r="L231" i="13"/>
  <c r="T230" i="13"/>
  <c r="R230" i="13"/>
  <c r="P230" i="13"/>
  <c r="N230" i="13"/>
  <c r="L230" i="13"/>
  <c r="T229" i="13"/>
  <c r="R229" i="13"/>
  <c r="P229" i="13"/>
  <c r="N229" i="13"/>
  <c r="L229" i="13"/>
  <c r="T228" i="13"/>
  <c r="R228" i="13"/>
  <c r="P228" i="13"/>
  <c r="N228" i="13"/>
  <c r="L228" i="13"/>
  <c r="T227" i="13"/>
  <c r="R227" i="13"/>
  <c r="P227" i="13"/>
  <c r="N227" i="13"/>
  <c r="L227" i="13"/>
  <c r="T226" i="13"/>
  <c r="R226" i="13"/>
  <c r="P226" i="13"/>
  <c r="N226" i="13"/>
  <c r="L226" i="13"/>
  <c r="T225" i="13"/>
  <c r="R225" i="13"/>
  <c r="P225" i="13"/>
  <c r="N225" i="13"/>
  <c r="L225" i="13"/>
  <c r="T224" i="13"/>
  <c r="R224" i="13"/>
  <c r="P224" i="13"/>
  <c r="N224" i="13"/>
  <c r="L224" i="13"/>
  <c r="T223" i="13"/>
  <c r="R223" i="13"/>
  <c r="P223" i="13"/>
  <c r="N223" i="13"/>
  <c r="L223" i="13"/>
  <c r="T222" i="13"/>
  <c r="R222" i="13"/>
  <c r="P222" i="13"/>
  <c r="N222" i="13"/>
  <c r="L222" i="13"/>
  <c r="T221" i="13"/>
  <c r="R221" i="13"/>
  <c r="P221" i="13"/>
  <c r="N221" i="13"/>
  <c r="L221" i="13"/>
  <c r="T220" i="13"/>
  <c r="R220" i="13"/>
  <c r="P220" i="13"/>
  <c r="N220" i="13"/>
  <c r="L220" i="13"/>
  <c r="T219" i="13"/>
  <c r="R219" i="13"/>
  <c r="P219" i="13"/>
  <c r="N219" i="13"/>
  <c r="L219" i="13"/>
  <c r="T218" i="13"/>
  <c r="R218" i="13"/>
  <c r="P218" i="13"/>
  <c r="N218" i="13"/>
  <c r="L218" i="13"/>
  <c r="T217" i="13"/>
  <c r="R217" i="13"/>
  <c r="P217" i="13"/>
  <c r="N217" i="13"/>
  <c r="L217" i="13"/>
  <c r="T216" i="13"/>
  <c r="R216" i="13"/>
  <c r="P216" i="13"/>
  <c r="N216" i="13"/>
  <c r="L216" i="13"/>
  <c r="T215" i="13"/>
  <c r="R215" i="13"/>
  <c r="P215" i="13"/>
  <c r="N215" i="13"/>
  <c r="L215" i="13"/>
  <c r="T214" i="13"/>
  <c r="R214" i="13"/>
  <c r="P214" i="13"/>
  <c r="N214" i="13"/>
  <c r="L214" i="13"/>
  <c r="T213" i="13"/>
  <c r="R213" i="13"/>
  <c r="P213" i="13"/>
  <c r="N213" i="13"/>
  <c r="L213" i="13"/>
  <c r="T212" i="13"/>
  <c r="R212" i="13"/>
  <c r="P212" i="13"/>
  <c r="N212" i="13"/>
  <c r="L212" i="13"/>
  <c r="T211" i="13"/>
  <c r="R211" i="13"/>
  <c r="P211" i="13"/>
  <c r="N211" i="13"/>
  <c r="L211" i="13"/>
  <c r="T210" i="13"/>
  <c r="R210" i="13"/>
  <c r="P210" i="13"/>
  <c r="N210" i="13"/>
  <c r="L210" i="13"/>
  <c r="T209" i="13"/>
  <c r="R209" i="13"/>
  <c r="P209" i="13"/>
  <c r="N209" i="13"/>
  <c r="L209" i="13"/>
  <c r="T208" i="13"/>
  <c r="R208" i="13"/>
  <c r="P208" i="13"/>
  <c r="N208" i="13"/>
  <c r="L208" i="13"/>
  <c r="T207" i="13"/>
  <c r="R207" i="13"/>
  <c r="P207" i="13"/>
  <c r="N207" i="13"/>
  <c r="L207" i="13"/>
  <c r="T204" i="13"/>
  <c r="R204" i="13"/>
  <c r="P204" i="13"/>
  <c r="N204" i="13"/>
  <c r="L204" i="13"/>
  <c r="T203" i="13"/>
  <c r="R203" i="13"/>
  <c r="P203" i="13"/>
  <c r="N203" i="13"/>
  <c r="L203" i="13"/>
  <c r="T202" i="13"/>
  <c r="R202" i="13"/>
  <c r="P202" i="13"/>
  <c r="N202" i="13"/>
  <c r="L202" i="13"/>
  <c r="T201" i="13"/>
  <c r="R201" i="13"/>
  <c r="P201" i="13"/>
  <c r="N201" i="13"/>
  <c r="L201" i="13"/>
  <c r="F201" i="13"/>
  <c r="T200" i="13"/>
  <c r="R200" i="13"/>
  <c r="P200" i="13"/>
  <c r="N200" i="13"/>
  <c r="L200" i="13"/>
  <c r="F200" i="13"/>
  <c r="T199" i="13"/>
  <c r="R199" i="13"/>
  <c r="P199" i="13"/>
  <c r="N199" i="13"/>
  <c r="L199" i="13"/>
  <c r="F199" i="13"/>
  <c r="T198" i="13"/>
  <c r="R198" i="13"/>
  <c r="P198" i="13"/>
  <c r="N198" i="13"/>
  <c r="L198" i="13"/>
  <c r="F198" i="13"/>
  <c r="T197" i="13"/>
  <c r="R197" i="13"/>
  <c r="P197" i="13"/>
  <c r="N197" i="13"/>
  <c r="L197" i="13"/>
  <c r="F197" i="13"/>
  <c r="T196" i="13"/>
  <c r="R196" i="13"/>
  <c r="P196" i="13"/>
  <c r="N196" i="13"/>
  <c r="L196" i="13"/>
  <c r="F196" i="13"/>
  <c r="T195" i="13"/>
  <c r="R195" i="13"/>
  <c r="P195" i="13"/>
  <c r="N195" i="13"/>
  <c r="L195" i="13"/>
  <c r="F195" i="13"/>
  <c r="T194" i="13"/>
  <c r="R194" i="13"/>
  <c r="P194" i="13"/>
  <c r="N194" i="13"/>
  <c r="L194" i="13"/>
  <c r="F194" i="13"/>
  <c r="T193" i="13"/>
  <c r="R193" i="13"/>
  <c r="P193" i="13"/>
  <c r="N193" i="13"/>
  <c r="L193" i="13"/>
  <c r="F193" i="13"/>
  <c r="T192" i="13"/>
  <c r="R192" i="13"/>
  <c r="P192" i="13"/>
  <c r="N192" i="13"/>
  <c r="L192" i="13"/>
  <c r="F192" i="13"/>
  <c r="T191" i="13"/>
  <c r="R191" i="13"/>
  <c r="P191" i="13"/>
  <c r="N191" i="13"/>
  <c r="L191" i="13"/>
  <c r="F191" i="13"/>
  <c r="T190" i="13"/>
  <c r="R190" i="13"/>
  <c r="P190" i="13"/>
  <c r="N190" i="13"/>
  <c r="L190" i="13"/>
  <c r="F190" i="13"/>
  <c r="T189" i="13"/>
  <c r="R189" i="13"/>
  <c r="P189" i="13"/>
  <c r="N189" i="13"/>
  <c r="L189" i="13"/>
  <c r="F189" i="13"/>
  <c r="T188" i="13"/>
  <c r="R188" i="13"/>
  <c r="P188" i="13"/>
  <c r="N188" i="13"/>
  <c r="L188" i="13"/>
  <c r="F188" i="13"/>
  <c r="T187" i="13"/>
  <c r="R187" i="13"/>
  <c r="P187" i="13"/>
  <c r="N187" i="13"/>
  <c r="L187" i="13"/>
  <c r="F187" i="13"/>
  <c r="T186" i="13"/>
  <c r="R186" i="13"/>
  <c r="P186" i="13"/>
  <c r="N186" i="13"/>
  <c r="L186" i="13"/>
  <c r="F186" i="13"/>
  <c r="T185" i="13"/>
  <c r="R185" i="13"/>
  <c r="P185" i="13"/>
  <c r="N185" i="13"/>
  <c r="L185" i="13"/>
  <c r="T184" i="13"/>
  <c r="R184" i="13"/>
  <c r="P184" i="13"/>
  <c r="N184" i="13"/>
  <c r="L184" i="13"/>
  <c r="F184" i="13"/>
  <c r="T183" i="13"/>
  <c r="R183" i="13"/>
  <c r="P183" i="13"/>
  <c r="N183" i="13"/>
  <c r="L183" i="13"/>
  <c r="F183" i="13"/>
  <c r="T182" i="13"/>
  <c r="R182" i="13"/>
  <c r="P182" i="13"/>
  <c r="N182" i="13"/>
  <c r="L182" i="13"/>
  <c r="T181" i="13"/>
  <c r="R181" i="13"/>
  <c r="P181" i="13"/>
  <c r="N181" i="13"/>
  <c r="L181" i="13"/>
  <c r="T180" i="13"/>
  <c r="R180" i="13"/>
  <c r="P180" i="13"/>
  <c r="N180" i="13"/>
  <c r="L180" i="13"/>
  <c r="T179" i="13"/>
  <c r="R179" i="13"/>
  <c r="P179" i="13"/>
  <c r="N179" i="13"/>
  <c r="L179" i="13"/>
  <c r="T178" i="13"/>
  <c r="R178" i="13"/>
  <c r="P178" i="13"/>
  <c r="N178" i="13"/>
  <c r="L178" i="13"/>
  <c r="T177" i="13"/>
  <c r="R177" i="13"/>
  <c r="P177" i="13"/>
  <c r="N177" i="13"/>
  <c r="L177" i="13"/>
  <c r="T176" i="13"/>
  <c r="R176" i="13"/>
  <c r="P176" i="13"/>
  <c r="N176" i="13"/>
  <c r="L176" i="13"/>
  <c r="T175" i="13"/>
  <c r="R175" i="13"/>
  <c r="P175" i="13"/>
  <c r="N175" i="13"/>
  <c r="L175" i="13"/>
  <c r="T174" i="13"/>
  <c r="R174" i="13"/>
  <c r="P174" i="13"/>
  <c r="N174" i="13"/>
  <c r="L174" i="13"/>
  <c r="T173" i="13"/>
  <c r="R173" i="13"/>
  <c r="P173" i="13"/>
  <c r="N173" i="13"/>
  <c r="L173" i="13"/>
  <c r="T172" i="13"/>
  <c r="R172" i="13"/>
  <c r="P172" i="13"/>
  <c r="N172" i="13"/>
  <c r="L172" i="13"/>
  <c r="T171" i="13"/>
  <c r="R171" i="13"/>
  <c r="P171" i="13"/>
  <c r="N171" i="13"/>
  <c r="L171" i="13"/>
  <c r="T170" i="13"/>
  <c r="R170" i="13"/>
  <c r="P170" i="13"/>
  <c r="N170" i="13"/>
  <c r="L170" i="13"/>
  <c r="T169" i="13"/>
  <c r="R169" i="13"/>
  <c r="P169" i="13"/>
  <c r="N169" i="13"/>
  <c r="L169" i="13"/>
  <c r="T168" i="13"/>
  <c r="R168" i="13"/>
  <c r="P168" i="13"/>
  <c r="N168" i="13"/>
  <c r="L168" i="13"/>
  <c r="T167" i="13"/>
  <c r="R167" i="13"/>
  <c r="P167" i="13"/>
  <c r="N167" i="13"/>
  <c r="L167" i="13"/>
  <c r="T166" i="13"/>
  <c r="R166" i="13"/>
  <c r="P166" i="13"/>
  <c r="N166" i="13"/>
  <c r="L166" i="13"/>
  <c r="T165" i="13"/>
  <c r="R165" i="13"/>
  <c r="P165" i="13"/>
  <c r="N165" i="13"/>
  <c r="L165" i="13"/>
  <c r="T164" i="13"/>
  <c r="R164" i="13"/>
  <c r="P164" i="13"/>
  <c r="N164" i="13"/>
  <c r="L164" i="13"/>
  <c r="T163" i="13"/>
  <c r="R163" i="13"/>
  <c r="P163" i="13"/>
  <c r="N163" i="13"/>
  <c r="L163" i="13"/>
  <c r="T162" i="13"/>
  <c r="R162" i="13"/>
  <c r="P162" i="13"/>
  <c r="N162" i="13"/>
  <c r="L162" i="13"/>
  <c r="T161" i="13"/>
  <c r="R161" i="13"/>
  <c r="P161" i="13"/>
  <c r="N161" i="13"/>
  <c r="L161" i="13"/>
  <c r="T160" i="13"/>
  <c r="R160" i="13"/>
  <c r="P160" i="13"/>
  <c r="N160" i="13"/>
  <c r="L160" i="13"/>
  <c r="T159" i="13"/>
  <c r="R159" i="13"/>
  <c r="P159" i="13"/>
  <c r="N159" i="13"/>
  <c r="L159" i="13"/>
  <c r="T158" i="13"/>
  <c r="R158" i="13"/>
  <c r="P158" i="13"/>
  <c r="N158" i="13"/>
  <c r="L158" i="13"/>
  <c r="T157" i="13"/>
  <c r="R157" i="13"/>
  <c r="P157" i="13"/>
  <c r="N157" i="13"/>
  <c r="L157" i="13"/>
  <c r="T156" i="13"/>
  <c r="R156" i="13"/>
  <c r="P156" i="13"/>
  <c r="N156" i="13"/>
  <c r="L156" i="13"/>
  <c r="T155" i="13"/>
  <c r="R155" i="13"/>
  <c r="P155" i="13"/>
  <c r="N155" i="13"/>
  <c r="L155" i="13"/>
  <c r="T154" i="13"/>
  <c r="R154" i="13"/>
  <c r="P154" i="13"/>
  <c r="N154" i="13"/>
  <c r="L154" i="13"/>
  <c r="T153" i="13"/>
  <c r="R153" i="13"/>
  <c r="P153" i="13"/>
  <c r="N153" i="13"/>
  <c r="L153" i="13"/>
  <c r="T152" i="13"/>
  <c r="R152" i="13"/>
  <c r="P152" i="13"/>
  <c r="N152" i="13"/>
  <c r="L152" i="13"/>
  <c r="T151" i="13"/>
  <c r="R151" i="13"/>
  <c r="P151" i="13"/>
  <c r="N151" i="13"/>
  <c r="L151" i="13"/>
  <c r="T150" i="13"/>
  <c r="R150" i="13"/>
  <c r="P150" i="13"/>
  <c r="N150" i="13"/>
  <c r="L150" i="13"/>
  <c r="T149" i="13"/>
  <c r="R149" i="13"/>
  <c r="P149" i="13"/>
  <c r="N149" i="13"/>
  <c r="L149" i="13"/>
  <c r="T148" i="13"/>
  <c r="R148" i="13"/>
  <c r="P148" i="13"/>
  <c r="N148" i="13"/>
  <c r="L148" i="13"/>
  <c r="T147" i="13"/>
  <c r="R147" i="13"/>
  <c r="P147" i="13"/>
  <c r="N147" i="13"/>
  <c r="L147" i="13"/>
  <c r="T146" i="13"/>
  <c r="R146" i="13"/>
  <c r="P146" i="13"/>
  <c r="N146" i="13"/>
  <c r="L146" i="13"/>
  <c r="T145" i="13"/>
  <c r="R145" i="13"/>
  <c r="P145" i="13"/>
  <c r="N145" i="13"/>
  <c r="L145" i="13"/>
  <c r="T144" i="13"/>
  <c r="R144" i="13"/>
  <c r="P144" i="13"/>
  <c r="N144" i="13"/>
  <c r="L144" i="13"/>
  <c r="T143" i="13"/>
  <c r="R143" i="13"/>
  <c r="P143" i="13"/>
  <c r="N143" i="13"/>
  <c r="L143" i="13"/>
  <c r="T142" i="13"/>
  <c r="R142" i="13"/>
  <c r="P142" i="13"/>
  <c r="N142" i="13"/>
  <c r="L142" i="13"/>
  <c r="T141" i="13"/>
  <c r="R141" i="13"/>
  <c r="P141" i="13"/>
  <c r="N141" i="13"/>
  <c r="L141" i="13"/>
  <c r="T140" i="13"/>
  <c r="R140" i="13"/>
  <c r="P140" i="13"/>
  <c r="N140" i="13"/>
  <c r="L140" i="13"/>
  <c r="T139" i="13"/>
  <c r="R139" i="13"/>
  <c r="P139" i="13"/>
  <c r="N139" i="13"/>
  <c r="L139" i="13"/>
  <c r="T138" i="13"/>
  <c r="R138" i="13"/>
  <c r="P138" i="13"/>
  <c r="N138" i="13"/>
  <c r="L138" i="13"/>
  <c r="T137" i="13"/>
  <c r="R137" i="13"/>
  <c r="P137" i="13"/>
  <c r="N137" i="13"/>
  <c r="L137" i="13"/>
  <c r="T136" i="13"/>
  <c r="R136" i="13"/>
  <c r="P136" i="13"/>
  <c r="N136" i="13"/>
  <c r="L136" i="13"/>
  <c r="T135" i="13"/>
  <c r="R135" i="13"/>
  <c r="P135" i="13"/>
  <c r="N135" i="13"/>
  <c r="L135" i="13"/>
  <c r="T134" i="13"/>
  <c r="R134" i="13"/>
  <c r="P134" i="13"/>
  <c r="N134" i="13"/>
  <c r="L134" i="13"/>
  <c r="T133" i="13"/>
  <c r="R133" i="13"/>
  <c r="P133" i="13"/>
  <c r="N133" i="13"/>
  <c r="L133" i="13"/>
  <c r="T132" i="13"/>
  <c r="R132" i="13"/>
  <c r="P132" i="13"/>
  <c r="N132" i="13"/>
  <c r="L132" i="13"/>
  <c r="T131" i="13"/>
  <c r="R131" i="13"/>
  <c r="P131" i="13"/>
  <c r="N131" i="13"/>
  <c r="L131" i="13"/>
  <c r="T130" i="13"/>
  <c r="R130" i="13"/>
  <c r="P130" i="13"/>
  <c r="N130" i="13"/>
  <c r="L130" i="13"/>
  <c r="T129" i="13"/>
  <c r="R129" i="13"/>
  <c r="P129" i="13"/>
  <c r="N129" i="13"/>
  <c r="L129" i="13"/>
  <c r="T128" i="13"/>
  <c r="R128" i="13"/>
  <c r="P128" i="13"/>
  <c r="N128" i="13"/>
  <c r="L128" i="13"/>
  <c r="T127" i="13"/>
  <c r="R127" i="13"/>
  <c r="P127" i="13"/>
  <c r="N127" i="13"/>
  <c r="L127" i="13"/>
  <c r="T126" i="13"/>
  <c r="R126" i="13"/>
  <c r="P126" i="13"/>
  <c r="N126" i="13"/>
  <c r="L126" i="13"/>
  <c r="T125" i="13"/>
  <c r="R125" i="13"/>
  <c r="P125" i="13"/>
  <c r="N125" i="13"/>
  <c r="L125" i="13"/>
  <c r="T124" i="13"/>
  <c r="R124" i="13"/>
  <c r="P124" i="13"/>
  <c r="N124" i="13"/>
  <c r="L124" i="13"/>
  <c r="T123" i="13"/>
  <c r="R123" i="13"/>
  <c r="P123" i="13"/>
  <c r="N123" i="13"/>
  <c r="L123" i="13"/>
  <c r="T122" i="13"/>
  <c r="R122" i="13"/>
  <c r="P122" i="13"/>
  <c r="N122" i="13"/>
  <c r="L122" i="13"/>
  <c r="T121" i="13"/>
  <c r="R121" i="13"/>
  <c r="P121" i="13"/>
  <c r="N121" i="13"/>
  <c r="L121" i="13"/>
  <c r="T120" i="13"/>
  <c r="R120" i="13"/>
  <c r="P120" i="13"/>
  <c r="N120" i="13"/>
  <c r="L120" i="13"/>
  <c r="T119" i="13"/>
  <c r="R119" i="13"/>
  <c r="P119" i="13"/>
  <c r="N119" i="13"/>
  <c r="L119" i="13"/>
  <c r="T118" i="13"/>
  <c r="R118" i="13"/>
  <c r="P118" i="13"/>
  <c r="N118" i="13"/>
  <c r="L118" i="13"/>
  <c r="T117" i="13"/>
  <c r="R117" i="13"/>
  <c r="P117" i="13"/>
  <c r="N117" i="13"/>
  <c r="L117" i="13"/>
  <c r="T116" i="13"/>
  <c r="R116" i="13"/>
  <c r="P116" i="13"/>
  <c r="N116" i="13"/>
  <c r="L116" i="13"/>
  <c r="T115" i="13"/>
  <c r="R115" i="13"/>
  <c r="P115" i="13"/>
  <c r="N115" i="13"/>
  <c r="L115" i="13"/>
  <c r="T114" i="13"/>
  <c r="R114" i="13"/>
  <c r="P114" i="13"/>
  <c r="N114" i="13"/>
  <c r="L114" i="13"/>
  <c r="T113" i="13"/>
  <c r="R113" i="13"/>
  <c r="P113" i="13"/>
  <c r="N113" i="13"/>
  <c r="L113" i="13"/>
  <c r="T112" i="13"/>
  <c r="R112" i="13"/>
  <c r="P112" i="13"/>
  <c r="N112" i="13"/>
  <c r="L112" i="13"/>
  <c r="T111" i="13"/>
  <c r="R111" i="13"/>
  <c r="P111" i="13"/>
  <c r="N111" i="13"/>
  <c r="L111" i="13"/>
  <c r="T110" i="13"/>
  <c r="R110" i="13"/>
  <c r="P110" i="13"/>
  <c r="N110" i="13"/>
  <c r="L110" i="13"/>
  <c r="T109" i="13"/>
  <c r="R109" i="13"/>
  <c r="P109" i="13"/>
  <c r="N109" i="13"/>
  <c r="L109" i="13"/>
  <c r="T108" i="13"/>
  <c r="R108" i="13"/>
  <c r="P108" i="13"/>
  <c r="N108" i="13"/>
  <c r="L108" i="13"/>
  <c r="T107" i="13"/>
  <c r="R107" i="13"/>
  <c r="P107" i="13"/>
  <c r="N107" i="13"/>
  <c r="L107" i="13"/>
  <c r="T106" i="13"/>
  <c r="R106" i="13"/>
  <c r="P106" i="13"/>
  <c r="N106" i="13"/>
  <c r="L106" i="13"/>
  <c r="T105" i="13"/>
  <c r="R105" i="13"/>
  <c r="P105" i="13"/>
  <c r="N105" i="13"/>
  <c r="L105" i="13"/>
  <c r="T104" i="13"/>
  <c r="R104" i="13"/>
  <c r="P104" i="13"/>
  <c r="N104" i="13"/>
  <c r="L104" i="13"/>
  <c r="T103" i="13"/>
  <c r="R103" i="13"/>
  <c r="P103" i="13"/>
  <c r="N103" i="13"/>
  <c r="L103" i="13"/>
  <c r="T102" i="13"/>
  <c r="R102" i="13"/>
  <c r="P102" i="13"/>
  <c r="N102" i="13"/>
  <c r="L102" i="13"/>
  <c r="T101" i="13"/>
  <c r="R101" i="13"/>
  <c r="P101" i="13"/>
  <c r="N101" i="13"/>
  <c r="L101" i="13"/>
  <c r="T100" i="13"/>
  <c r="R100" i="13"/>
  <c r="P100" i="13"/>
  <c r="N100" i="13"/>
  <c r="L100" i="13"/>
  <c r="T99" i="13"/>
  <c r="R99" i="13"/>
  <c r="P99" i="13"/>
  <c r="N99" i="13"/>
  <c r="L99" i="13"/>
  <c r="T98" i="13"/>
  <c r="R98" i="13"/>
  <c r="P98" i="13"/>
  <c r="N98" i="13"/>
  <c r="L98" i="13"/>
  <c r="T97" i="13"/>
  <c r="R97" i="13"/>
  <c r="P97" i="13"/>
  <c r="N97" i="13"/>
  <c r="L97" i="13"/>
  <c r="T96" i="13"/>
  <c r="R96" i="13"/>
  <c r="P96" i="13"/>
  <c r="N96" i="13"/>
  <c r="L96" i="13"/>
  <c r="T95" i="13"/>
  <c r="R95" i="13"/>
  <c r="P95" i="13"/>
  <c r="N95" i="13"/>
  <c r="L95" i="13"/>
  <c r="T92" i="13"/>
  <c r="R92" i="13"/>
  <c r="P92" i="13"/>
  <c r="N92" i="13"/>
  <c r="L92" i="13"/>
  <c r="T91" i="13"/>
  <c r="R91" i="13"/>
  <c r="P91" i="13"/>
  <c r="N91" i="13"/>
  <c r="L91" i="13"/>
  <c r="T90" i="13"/>
  <c r="R90" i="13"/>
  <c r="P90" i="13"/>
  <c r="N90" i="13"/>
  <c r="L90" i="13"/>
  <c r="T89" i="13"/>
  <c r="R89" i="13"/>
  <c r="P89" i="13"/>
  <c r="N89" i="13"/>
  <c r="L89" i="13"/>
  <c r="T88" i="13"/>
  <c r="R88" i="13"/>
  <c r="P88" i="13"/>
  <c r="N88" i="13"/>
  <c r="L88" i="13"/>
  <c r="T87" i="13"/>
  <c r="R87" i="13"/>
  <c r="P87" i="13"/>
  <c r="N87" i="13"/>
  <c r="L87" i="13"/>
  <c r="T86" i="13"/>
  <c r="R86" i="13"/>
  <c r="P86" i="13"/>
  <c r="N86" i="13"/>
  <c r="L86" i="13"/>
  <c r="T85" i="13"/>
  <c r="R85" i="13"/>
  <c r="P85" i="13"/>
  <c r="N85" i="13"/>
  <c r="L85" i="13"/>
  <c r="T84" i="13"/>
  <c r="R84" i="13"/>
  <c r="P84" i="13"/>
  <c r="N84" i="13"/>
  <c r="L84" i="13"/>
  <c r="T83" i="13"/>
  <c r="R83" i="13"/>
  <c r="P83" i="13"/>
  <c r="N83" i="13"/>
  <c r="L83" i="13"/>
  <c r="F83" i="13"/>
  <c r="T82" i="13"/>
  <c r="R82" i="13"/>
  <c r="P82" i="13"/>
  <c r="N82" i="13"/>
  <c r="L82" i="13"/>
  <c r="F82" i="13"/>
  <c r="T81" i="13"/>
  <c r="R81" i="13"/>
  <c r="P81" i="13"/>
  <c r="N81" i="13"/>
  <c r="L81" i="13"/>
  <c r="F81" i="13"/>
  <c r="T80" i="13"/>
  <c r="R80" i="13"/>
  <c r="P80" i="13"/>
  <c r="N80" i="13"/>
  <c r="L80" i="13"/>
  <c r="F80" i="13"/>
  <c r="T79" i="13"/>
  <c r="R79" i="13"/>
  <c r="P79" i="13"/>
  <c r="N79" i="13"/>
  <c r="L79" i="13"/>
  <c r="F79" i="13"/>
  <c r="T78" i="13"/>
  <c r="R78" i="13"/>
  <c r="P78" i="13"/>
  <c r="N78" i="13"/>
  <c r="L78" i="13"/>
  <c r="F78" i="13"/>
  <c r="T77" i="13"/>
  <c r="R77" i="13"/>
  <c r="P77" i="13"/>
  <c r="N77" i="13"/>
  <c r="L77" i="13"/>
  <c r="T76" i="13"/>
  <c r="R76" i="13"/>
  <c r="P76" i="13"/>
  <c r="N76" i="13"/>
  <c r="L76" i="13"/>
  <c r="T75" i="13"/>
  <c r="R75" i="13"/>
  <c r="P75" i="13"/>
  <c r="N75" i="13"/>
  <c r="L75" i="13"/>
  <c r="F75" i="13"/>
  <c r="T72" i="13"/>
  <c r="R72" i="13"/>
  <c r="P72" i="13"/>
  <c r="N72" i="13"/>
  <c r="L72" i="13"/>
  <c r="T71" i="13"/>
  <c r="R71" i="13"/>
  <c r="P71" i="13"/>
  <c r="N71" i="13"/>
  <c r="L71" i="13"/>
  <c r="F71" i="13"/>
  <c r="T70" i="13"/>
  <c r="R70" i="13"/>
  <c r="P70" i="13"/>
  <c r="N70" i="13"/>
  <c r="L70" i="13"/>
  <c r="F70" i="13"/>
  <c r="T69" i="13"/>
  <c r="R69" i="13"/>
  <c r="P69" i="13"/>
  <c r="N69" i="13"/>
  <c r="L69" i="13"/>
  <c r="F69" i="13"/>
  <c r="T68" i="13"/>
  <c r="R68" i="13"/>
  <c r="P68" i="13"/>
  <c r="N68" i="13"/>
  <c r="L68" i="13"/>
  <c r="F68" i="13"/>
  <c r="T67" i="13"/>
  <c r="R67" i="13"/>
  <c r="P67" i="13"/>
  <c r="N67" i="13"/>
  <c r="L67" i="13"/>
  <c r="F67" i="13"/>
  <c r="T66" i="13"/>
  <c r="R66" i="13"/>
  <c r="P66" i="13"/>
  <c r="N66" i="13"/>
  <c r="L66" i="13"/>
  <c r="F66" i="13"/>
  <c r="T65" i="13"/>
  <c r="R65" i="13"/>
  <c r="P65" i="13"/>
  <c r="N65" i="13"/>
  <c r="L65" i="13"/>
  <c r="F65" i="13"/>
  <c r="T64" i="13"/>
  <c r="R64" i="13"/>
  <c r="P64" i="13"/>
  <c r="N64" i="13"/>
  <c r="L64" i="13"/>
  <c r="F64" i="13"/>
  <c r="T63" i="13"/>
  <c r="R63" i="13"/>
  <c r="P63" i="13"/>
  <c r="N63" i="13"/>
  <c r="L63" i="13"/>
  <c r="F63" i="13"/>
  <c r="T62" i="13"/>
  <c r="R62" i="13"/>
  <c r="P62" i="13"/>
  <c r="N62" i="13"/>
  <c r="L62" i="13"/>
  <c r="F62" i="13"/>
  <c r="T61" i="13"/>
  <c r="R61" i="13"/>
  <c r="P61" i="13"/>
  <c r="N61" i="13"/>
  <c r="L61" i="13"/>
  <c r="F61" i="13"/>
  <c r="T60" i="13"/>
  <c r="R60" i="13"/>
  <c r="P60" i="13"/>
  <c r="N60" i="13"/>
  <c r="L60" i="13"/>
  <c r="F60" i="13"/>
  <c r="T59" i="13"/>
  <c r="R59" i="13"/>
  <c r="P59" i="13"/>
  <c r="N59" i="13"/>
  <c r="L59" i="13"/>
  <c r="F59" i="13"/>
  <c r="T58" i="13"/>
  <c r="R58" i="13"/>
  <c r="P58" i="13"/>
  <c r="N58" i="13"/>
  <c r="L58" i="13"/>
  <c r="F58" i="13"/>
  <c r="T57" i="13"/>
  <c r="R57" i="13"/>
  <c r="P57" i="13"/>
  <c r="N57" i="13"/>
  <c r="L57" i="13"/>
  <c r="F57" i="13"/>
  <c r="T56" i="13"/>
  <c r="R56" i="13"/>
  <c r="P56" i="13"/>
  <c r="N56" i="13"/>
  <c r="L56" i="13"/>
  <c r="F56" i="13"/>
  <c r="T55" i="13"/>
  <c r="R55" i="13"/>
  <c r="P55" i="13"/>
  <c r="N55" i="13"/>
  <c r="L55" i="13"/>
  <c r="F55" i="13"/>
  <c r="T54" i="13"/>
  <c r="R54" i="13"/>
  <c r="P54" i="13"/>
  <c r="N54" i="13"/>
  <c r="L54" i="13"/>
  <c r="F54" i="13"/>
  <c r="T53" i="13"/>
  <c r="R53" i="13"/>
  <c r="P53" i="13"/>
  <c r="N53" i="13"/>
  <c r="L53" i="13"/>
  <c r="F53" i="13"/>
  <c r="T50" i="13"/>
  <c r="R50" i="13"/>
  <c r="P50" i="13"/>
  <c r="N50" i="13"/>
  <c r="L50" i="13"/>
  <c r="T49" i="13"/>
  <c r="R49" i="13"/>
  <c r="P49" i="13"/>
  <c r="N49" i="13"/>
  <c r="L49" i="13"/>
  <c r="T48" i="13"/>
  <c r="R48" i="13"/>
  <c r="P48" i="13"/>
  <c r="N48" i="13"/>
  <c r="L48" i="13"/>
  <c r="T47" i="13"/>
  <c r="R47" i="13"/>
  <c r="P47" i="13"/>
  <c r="N47" i="13"/>
  <c r="L47" i="13"/>
  <c r="T46" i="13"/>
  <c r="R46" i="13"/>
  <c r="P46" i="13"/>
  <c r="N46" i="13"/>
  <c r="L46" i="13"/>
  <c r="T45" i="13"/>
  <c r="R45" i="13"/>
  <c r="P45" i="13"/>
  <c r="N45" i="13"/>
  <c r="L45" i="13"/>
  <c r="T44" i="13"/>
  <c r="R44" i="13"/>
  <c r="P44" i="13"/>
  <c r="N44" i="13"/>
  <c r="L44" i="13"/>
  <c r="T43" i="13"/>
  <c r="R43" i="13"/>
  <c r="P43" i="13"/>
  <c r="N43" i="13"/>
  <c r="L43" i="13"/>
  <c r="T42" i="13"/>
  <c r="R42" i="13"/>
  <c r="P42" i="13"/>
  <c r="N42" i="13"/>
  <c r="L42" i="13"/>
  <c r="T41" i="13"/>
  <c r="R41" i="13"/>
  <c r="P41" i="13"/>
  <c r="N41" i="13"/>
  <c r="L41" i="13"/>
  <c r="T40" i="13"/>
  <c r="R40" i="13"/>
  <c r="P40" i="13"/>
  <c r="N40" i="13"/>
  <c r="L40" i="13"/>
  <c r="T39" i="13"/>
  <c r="R39" i="13"/>
  <c r="P39" i="13"/>
  <c r="N39" i="13"/>
  <c r="L39" i="13"/>
  <c r="T38" i="13"/>
  <c r="R38" i="13"/>
  <c r="P38" i="13"/>
  <c r="N38" i="13"/>
  <c r="L38" i="13"/>
  <c r="T37" i="13"/>
  <c r="R37" i="13"/>
  <c r="P37" i="13"/>
  <c r="N37" i="13"/>
  <c r="L37" i="13"/>
  <c r="T36" i="13"/>
  <c r="R36" i="13"/>
  <c r="P36" i="13"/>
  <c r="N36" i="13"/>
  <c r="L36" i="13"/>
  <c r="T35" i="13"/>
  <c r="R35" i="13"/>
  <c r="P35" i="13"/>
  <c r="N35" i="13"/>
  <c r="L35" i="13"/>
  <c r="T34" i="13"/>
  <c r="R34" i="13"/>
  <c r="P34" i="13"/>
  <c r="N34" i="13"/>
  <c r="L34" i="13"/>
  <c r="T33" i="13"/>
  <c r="R33" i="13"/>
  <c r="P33" i="13"/>
  <c r="N33" i="13"/>
  <c r="L33" i="13"/>
  <c r="F33" i="13"/>
  <c r="T32" i="13"/>
  <c r="R32" i="13"/>
  <c r="P32" i="13"/>
  <c r="N32" i="13"/>
  <c r="L32" i="13"/>
  <c r="F32" i="13"/>
  <c r="T31" i="13"/>
  <c r="R31" i="13"/>
  <c r="P31" i="13"/>
  <c r="N31" i="13"/>
  <c r="L31" i="13"/>
  <c r="F31" i="13"/>
  <c r="T30" i="13"/>
  <c r="R30" i="13"/>
  <c r="P30" i="13"/>
  <c r="N30" i="13"/>
  <c r="L30" i="13"/>
  <c r="F30" i="13"/>
  <c r="T29" i="13"/>
  <c r="R29" i="13"/>
  <c r="P29" i="13"/>
  <c r="N29" i="13"/>
  <c r="L29" i="13"/>
  <c r="F29" i="13"/>
  <c r="T28" i="13"/>
  <c r="R28" i="13"/>
  <c r="P28" i="13"/>
  <c r="N28" i="13"/>
  <c r="L28" i="13"/>
  <c r="F28" i="13"/>
  <c r="T27" i="13"/>
  <c r="R27" i="13"/>
  <c r="P27" i="13"/>
  <c r="N27" i="13"/>
  <c r="L27" i="13"/>
  <c r="F27" i="13"/>
  <c r="T26" i="13"/>
  <c r="R26" i="13"/>
  <c r="P26" i="13"/>
  <c r="N26" i="13"/>
  <c r="L26" i="13"/>
  <c r="F26" i="13"/>
  <c r="T25" i="13"/>
  <c r="R25" i="13"/>
  <c r="P25" i="13"/>
  <c r="N25" i="13"/>
  <c r="L25" i="13"/>
  <c r="F25" i="13"/>
  <c r="T24" i="13"/>
  <c r="R24" i="13"/>
  <c r="P24" i="13"/>
  <c r="N24" i="13"/>
  <c r="L24" i="13"/>
  <c r="F24" i="13"/>
  <c r="T23" i="13"/>
  <c r="R23" i="13"/>
  <c r="P23" i="13"/>
  <c r="N23" i="13"/>
  <c r="L23" i="13"/>
  <c r="F23" i="13"/>
  <c r="T22" i="13"/>
  <c r="R22" i="13"/>
  <c r="P22" i="13"/>
  <c r="N22" i="13"/>
  <c r="L22" i="13"/>
  <c r="F22" i="13"/>
  <c r="T21" i="13"/>
  <c r="R21" i="13"/>
  <c r="P21" i="13"/>
  <c r="N21" i="13"/>
  <c r="L21" i="13"/>
  <c r="F21" i="13"/>
  <c r="T20" i="13"/>
  <c r="R20" i="13"/>
  <c r="P20" i="13"/>
  <c r="N20" i="13"/>
  <c r="L20" i="13"/>
  <c r="F20" i="13"/>
  <c r="T19" i="13"/>
  <c r="R19" i="13"/>
  <c r="P19" i="13"/>
  <c r="N19" i="13"/>
  <c r="L19" i="13"/>
  <c r="F19" i="13"/>
  <c r="T18" i="13"/>
  <c r="R18" i="13"/>
  <c r="P18" i="13"/>
  <c r="N18" i="13"/>
  <c r="L18" i="13"/>
  <c r="F18" i="13"/>
  <c r="T17" i="13"/>
  <c r="R17" i="13"/>
  <c r="P17" i="13"/>
  <c r="N17" i="13"/>
  <c r="L17" i="13"/>
  <c r="F17" i="13"/>
  <c r="T16" i="13"/>
  <c r="R16" i="13"/>
  <c r="P16" i="13"/>
  <c r="N16" i="13"/>
  <c r="L16" i="13"/>
  <c r="F16" i="13"/>
  <c r="T15" i="13"/>
  <c r="R15" i="13"/>
  <c r="P15" i="13"/>
  <c r="N15" i="13"/>
  <c r="L15" i="13"/>
  <c r="F15" i="13"/>
  <c r="T14" i="13"/>
  <c r="R14" i="13"/>
  <c r="P14" i="13"/>
  <c r="N14" i="13"/>
  <c r="L14" i="13"/>
  <c r="F14" i="13"/>
  <c r="F13" i="13"/>
  <c r="T12" i="13"/>
  <c r="R12" i="13"/>
  <c r="P12" i="13"/>
  <c r="N12" i="13"/>
  <c r="L12" i="13"/>
  <c r="F12" i="13"/>
  <c r="T11" i="13"/>
  <c r="R11" i="13"/>
  <c r="P11" i="13"/>
  <c r="N11" i="13"/>
  <c r="L11" i="13"/>
  <c r="F11" i="13"/>
  <c r="T10" i="13"/>
  <c r="R10" i="13"/>
  <c r="P10" i="13"/>
  <c r="N10" i="13"/>
  <c r="L10" i="13"/>
  <c r="F10" i="13"/>
  <c r="T9" i="13"/>
  <c r="R9" i="13"/>
  <c r="P9" i="13"/>
  <c r="N9" i="13"/>
  <c r="L9" i="13"/>
  <c r="F9" i="13"/>
  <c r="T8" i="13"/>
  <c r="R8" i="13"/>
  <c r="P8" i="13"/>
  <c r="N8" i="13"/>
  <c r="L8" i="13"/>
  <c r="F8" i="13"/>
  <c r="T7" i="13"/>
  <c r="R7" i="13"/>
  <c r="P7" i="13"/>
  <c r="N7" i="13"/>
  <c r="L7" i="13"/>
  <c r="F7" i="13"/>
  <c r="T6" i="13"/>
  <c r="R6" i="13"/>
  <c r="P6" i="13"/>
  <c r="N6" i="13"/>
  <c r="L6" i="13"/>
  <c r="F6" i="13"/>
  <c r="T5" i="13"/>
  <c r="R5" i="13"/>
  <c r="P5" i="13"/>
  <c r="N5" i="13"/>
  <c r="L5" i="13"/>
  <c r="F5" i="13"/>
  <c r="T4" i="13"/>
  <c r="R4" i="13"/>
  <c r="P4" i="13"/>
  <c r="N4" i="13"/>
  <c r="L4" i="13"/>
  <c r="F4" i="13"/>
  <c r="N250" i="13" l="1"/>
  <c r="M259" i="13" s="1"/>
  <c r="N259" i="13" s="1"/>
  <c r="R250" i="13"/>
  <c r="Q259" i="13" s="1"/>
  <c r="R259" i="13" s="1"/>
  <c r="P250" i="13"/>
  <c r="O259" i="13" s="1"/>
  <c r="P259" i="13" s="1"/>
  <c r="R93" i="13"/>
  <c r="Q257" i="13" s="1"/>
  <c r="R257" i="13" s="1"/>
  <c r="L73" i="13"/>
  <c r="K256" i="13" s="1"/>
  <c r="L256" i="13" s="1"/>
  <c r="T73" i="13"/>
  <c r="S256" i="13" s="1"/>
  <c r="T256" i="13" s="1"/>
  <c r="P73" i="13"/>
  <c r="O256" i="13" s="1"/>
  <c r="P256" i="13" s="1"/>
  <c r="N93" i="13"/>
  <c r="M257" i="13" s="1"/>
  <c r="N257" i="13" s="1"/>
  <c r="N205" i="13"/>
  <c r="M258" i="13" s="1"/>
  <c r="N258" i="13" s="1"/>
  <c r="P93" i="13"/>
  <c r="O257" i="13" s="1"/>
  <c r="P257" i="13" s="1"/>
  <c r="L93" i="13"/>
  <c r="K257" i="13" s="1"/>
  <c r="L257" i="13" s="1"/>
  <c r="T93" i="13"/>
  <c r="S257" i="13" s="1"/>
  <c r="T257" i="13" s="1"/>
  <c r="P51" i="13"/>
  <c r="O255" i="13" s="1"/>
  <c r="P255" i="13" s="1"/>
  <c r="L51" i="13"/>
  <c r="K255" i="13" s="1"/>
  <c r="L255" i="13" s="1"/>
  <c r="T51" i="13"/>
  <c r="S255" i="13" s="1"/>
  <c r="T255" i="13" s="1"/>
  <c r="N51" i="13"/>
  <c r="M255" i="13" s="1"/>
  <c r="N255" i="13" s="1"/>
  <c r="P205" i="13"/>
  <c r="O258" i="13" s="1"/>
  <c r="P258" i="13" s="1"/>
  <c r="R205" i="13"/>
  <c r="Q258" i="13" s="1"/>
  <c r="R258" i="13" s="1"/>
  <c r="R51" i="13"/>
  <c r="Q255" i="13" s="1"/>
  <c r="R255" i="13" s="1"/>
  <c r="R73" i="13"/>
  <c r="Q256" i="13" s="1"/>
  <c r="R256" i="13" s="1"/>
  <c r="N73" i="13"/>
  <c r="M256" i="13" s="1"/>
  <c r="N256" i="13" s="1"/>
  <c r="L205" i="13"/>
  <c r="K258" i="13" s="1"/>
  <c r="L258" i="13" s="1"/>
  <c r="T205" i="13"/>
  <c r="S258" i="13" s="1"/>
  <c r="T258" i="13" s="1"/>
  <c r="L250" i="13"/>
  <c r="K259" i="13" s="1"/>
  <c r="L259" i="13" s="1"/>
  <c r="T250" i="13"/>
  <c r="S259" i="13" s="1"/>
  <c r="T259" i="13" s="1"/>
  <c r="V9" i="9"/>
  <c r="T260" i="13" l="1"/>
  <c r="P260" i="13"/>
  <c r="R260" i="13"/>
  <c r="N260" i="13"/>
  <c r="L260" i="13"/>
  <c r="D13" i="9"/>
  <c r="E13" i="9" l="1"/>
  <c r="E14" i="9" s="1"/>
  <c r="H14" i="9" l="1"/>
  <c r="E16" i="9"/>
  <c r="G12" i="9"/>
  <c r="F13" i="9" l="1"/>
  <c r="F12" i="9"/>
  <c r="F15" i="9" l="1"/>
  <c r="F17" i="9"/>
  <c r="L17" i="9" s="1"/>
  <c r="F16" i="9"/>
  <c r="N16" i="9"/>
  <c r="N15" i="9"/>
  <c r="N14" i="9"/>
  <c r="N17" i="9"/>
  <c r="F14" i="9"/>
  <c r="L15" i="9"/>
  <c r="L14" i="9" l="1"/>
  <c r="L16" i="9"/>
  <c r="E3" i="11" l="1"/>
  <c r="E12" i="9" l="1"/>
  <c r="G13" i="9"/>
  <c r="G14" i="9" s="1"/>
  <c r="T14" i="9" s="1"/>
  <c r="V14" i="9" s="1"/>
  <c r="W14" i="9" s="1"/>
  <c r="R16" i="9" l="1"/>
  <c r="G15" i="9"/>
  <c r="E17" i="9"/>
  <c r="H17" i="9" s="1"/>
  <c r="E15" i="9"/>
  <c r="H16" i="9"/>
  <c r="G17" i="9"/>
  <c r="R17" i="9"/>
  <c r="J14" i="9"/>
  <c r="R15" i="9"/>
  <c r="J16" i="9"/>
  <c r="J17" i="9"/>
  <c r="R14" i="9"/>
  <c r="J15" i="9"/>
  <c r="G16" i="9"/>
  <c r="T16" i="9" s="1"/>
  <c r="V16" i="9" s="1"/>
  <c r="W16" i="9" s="1"/>
  <c r="P17" i="9" l="1"/>
  <c r="T17" i="9"/>
  <c r="P15" i="9"/>
  <c r="T15" i="9"/>
  <c r="V17" i="9"/>
  <c r="W17" i="9" s="1"/>
  <c r="V15" i="9"/>
  <c r="W15" i="9" s="1"/>
  <c r="P14" i="9"/>
  <c r="H15" i="9"/>
  <c r="P16" i="9"/>
  <c r="E3" i="4"/>
  <c r="C13" i="9" s="1"/>
  <c r="X15" i="9" l="1"/>
  <c r="Z15" i="9" s="1"/>
  <c r="X14" i="9"/>
  <c r="Z14" i="9" s="1"/>
  <c r="X16" i="9"/>
  <c r="Z16" i="9" s="1"/>
  <c r="X17" i="9"/>
  <c r="Z17" i="9" s="1"/>
  <c r="X20" i="9" l="1"/>
</calcChain>
</file>

<file path=xl/sharedStrings.xml><?xml version="1.0" encoding="utf-8"?>
<sst xmlns="http://schemas.openxmlformats.org/spreadsheetml/2006/main" count="1558" uniqueCount="750">
  <si>
    <t>Anwendungshinweise:</t>
  </si>
  <si>
    <t>1.</t>
  </si>
  <si>
    <t>Der Vordruck 208.1213V94 besteht aus den beiden Tabellenblättern "Wertungsmatrix" und "Berechnungsbeispiel". Die Wertungsmatrix ist bearbeitbar.</t>
  </si>
  <si>
    <t>Im Kopf des Tabellenblatts "Wertungsmatrix" können Sie bestimmen</t>
  </si>
  <si>
    <t xml:space="preserve">a) </t>
  </si>
  <si>
    <t>ob Sie die vorgegebenen Wertungskriterien verwenden wollen</t>
  </si>
  <si>
    <t>oder</t>
  </si>
  <si>
    <t xml:space="preserve">b) </t>
  </si>
  <si>
    <t>von der Ausnahmeregelung Gebrauch machen wollen, andere Wertungskriterien zu verwenden</t>
  </si>
  <si>
    <r>
      <t xml:space="preserve">Bitte beachten Sie, dass eine inhaltliche Modifizierung der Kriterien oder die Verwendung anderer Kriterien nur entsprechend der Ausnahmeregelung im Handbuch 208.1213 (Kapitel 3, Punkt 5.2 ) zulässig ist.
</t>
    </r>
    <r>
      <rPr>
        <b/>
        <sz val="11"/>
        <color rgb="FFFF0000"/>
        <rFont val="Arial"/>
        <family val="2"/>
      </rPr>
      <t>Das Wertungskriterium "Umwelt" wird zur Zeit überarbeitet. Sollten Sie aus projektspezifischen Gründen beabsichtigen, dieses anzuwenden, ist zur Erarbeitung der Unterkriterien die OE TUM einzubinden. Die Unterkriterien müssen darüber hinaus mit der Rechtsabteilung abgestimmt werden.</t>
    </r>
  </si>
  <si>
    <r>
      <t>Wenn Sie sich für die</t>
    </r>
    <r>
      <rPr>
        <sz val="11"/>
        <color rgb="FFFF0000"/>
        <rFont val="Arial"/>
        <family val="2"/>
      </rPr>
      <t xml:space="preserve"> </t>
    </r>
    <r>
      <rPr>
        <b/>
        <sz val="11"/>
        <color rgb="FFFF0000"/>
        <rFont val="Arial"/>
        <family val="2"/>
      </rPr>
      <t>Variante a)</t>
    </r>
    <r>
      <rPr>
        <sz val="11"/>
        <rFont val="Arial"/>
        <family val="2"/>
      </rPr>
      <t xml:space="preserve"> entscheiden, haben Sie die Möglichkeit ein oder mehrere Kriterien objektbezogen</t>
    </r>
  </si>
  <si>
    <t>l</t>
  </si>
  <si>
    <t xml:space="preserve">komplett abzuwählen </t>
  </si>
  <si>
    <r>
      <t xml:space="preserve">Klicken Sie auf "Abwählen" </t>
    </r>
    <r>
      <rPr>
        <sz val="11"/>
        <rFont val="Wingdings"/>
        <charset val="2"/>
      </rPr>
      <t>è</t>
    </r>
    <r>
      <rPr>
        <i/>
        <sz val="11"/>
        <rFont val="Arial"/>
        <family val="2"/>
      </rPr>
      <t xml:space="preserve">  alle Unterkriterien werden durch "- nicht wertungsrelevant -" ersetzt</t>
    </r>
  </si>
  <si>
    <t xml:space="preserve">die jeweils zugehörigen Unterkriterien zu präzisieren </t>
  </si>
  <si>
    <t xml:space="preserve">Bearbeiten Sie direkt den Text der Unterkriterien </t>
  </si>
  <si>
    <r>
      <t xml:space="preserve">Bei Wahl der </t>
    </r>
    <r>
      <rPr>
        <b/>
        <sz val="11"/>
        <color rgb="FFFF0000"/>
        <rFont val="Arial"/>
        <family val="2"/>
      </rPr>
      <t>Variante b)</t>
    </r>
    <r>
      <rPr>
        <sz val="11"/>
        <rFont val="Arial"/>
        <family val="2"/>
      </rPr>
      <t>, können andere Wertungskriterien aufgeführt und mit Unterkriterien untersetzt werden.</t>
    </r>
  </si>
  <si>
    <r>
      <t xml:space="preserve">Klicken Sie auf "Ersetzen" </t>
    </r>
    <r>
      <rPr>
        <sz val="11"/>
        <rFont val="Wingdings"/>
        <charset val="2"/>
      </rPr>
      <t>è</t>
    </r>
    <r>
      <rPr>
        <i/>
        <sz val="11"/>
        <rFont val="Arial"/>
        <family val="2"/>
      </rPr>
      <t xml:space="preserve">  das Wertungskriterium und alle zugehörigen Unterkriterien werden gelöscht</t>
    </r>
  </si>
  <si>
    <t>Sie können nun ein neues Wertungskriterium und die für die Punkteverteilung maßgebenden Unterkriterien eingeben.</t>
  </si>
  <si>
    <t>Bitte beachten Sie, dass im Tabellenblatt "Wertungsmatrix" unabhängig davon, für welche Variante Sie sich entscheiden, weder die Anzahl der Zeilen und Spalten noch deren Höhe und Breite verändert werden darf.</t>
  </si>
  <si>
    <t>Der Druck der Wertungsmatrix und des Berechnungsbeispiels erfolgt über die Druckfunktion von Excel. Der Arbeits-/Auswahlbereich im Kopf des Tabellenblatts "Wertungsmatrix" wird nicht ausgedruckt.</t>
  </si>
  <si>
    <t>2.</t>
  </si>
  <si>
    <r>
      <t xml:space="preserve">Eine </t>
    </r>
    <r>
      <rPr>
        <b/>
        <sz val="11"/>
        <rFont val="DB Office"/>
        <family val="2"/>
      </rPr>
      <t>Arbeitshilfe zur Anwendung der Wertungsmatrix in Bauverträgen</t>
    </r>
    <r>
      <rPr>
        <sz val="11"/>
        <rFont val="DB Office"/>
        <family val="2"/>
      </rPr>
      <t xml:space="preserve"> finden Sie</t>
    </r>
  </si>
  <si>
    <t>3.</t>
  </si>
  <si>
    <t>Wenn das Kriterium Terminplanung Oberbau ausgewählt wird ist zwingend die Anlage 2 zum Anschreiben</t>
  </si>
  <si>
    <t xml:space="preserve"> - Präzisierung zur Wertungsmatrix_Oberbau aus dem Formulartool mit zu veröffentlichen.</t>
  </si>
  <si>
    <t>Auswahl</t>
  </si>
  <si>
    <t>Gewichtung in %</t>
  </si>
  <si>
    <t>Gewichtung Preis in %</t>
  </si>
  <si>
    <r>
      <t xml:space="preserve">Nachhaltigkeit </t>
    </r>
    <r>
      <rPr>
        <b/>
        <vertAlign val="superscript"/>
        <sz val="14"/>
        <color rgb="FFFFFFFF"/>
        <rFont val="Arial"/>
        <family val="2"/>
      </rPr>
      <t>1)</t>
    </r>
  </si>
  <si>
    <t xml:space="preserve">Stillstandszeit 1)
</t>
  </si>
  <si>
    <t>Punktwert 5</t>
  </si>
  <si>
    <t>Anforderungen Punktwert 1 bis 4 + zusätzlich</t>
  </si>
  <si>
    <t>-</t>
  </si>
  <si>
    <t>noch auszufüllen</t>
  </si>
  <si>
    <t>Das erreichen von UGmin ergibt die volle Punktzahl</t>
  </si>
  <si>
    <t>Punktwert 4</t>
  </si>
  <si>
    <t>Anforderungen Punktwert 1 bis 3 + zusätzlich</t>
  </si>
  <si>
    <t>4 Punkte sind die jeweiligen Mittelwerte zischen UGmin und PD Mittelwert</t>
  </si>
  <si>
    <t>Punktwert 3</t>
  </si>
  <si>
    <t>Anforderungen Punktwert 1 bis 2 + zusätzlich</t>
  </si>
  <si>
    <t xml:space="preserve">Der PD Mittelwert ergibt 3 Punkte </t>
  </si>
  <si>
    <t>Punktwert 2</t>
  </si>
  <si>
    <t>Anforderungen Punktwert 1 + zusätzlich</t>
  </si>
  <si>
    <t>2 Punkte  sind die jeweiligen Mittelwerte zwischen O und PD Mittelwert</t>
  </si>
  <si>
    <t>Punktwert 1</t>
  </si>
  <si>
    <t>Sollte die Obergrenze angegeben oder überschritten werden gibt es nur noch 1 Punkt</t>
  </si>
  <si>
    <t xml:space="preserve"> </t>
  </si>
  <si>
    <r>
      <rPr>
        <vertAlign val="superscript"/>
        <sz val="10"/>
        <rFont val="Arial"/>
        <family val="2"/>
      </rPr>
      <t>1)</t>
    </r>
    <r>
      <rPr>
        <sz val="10"/>
        <rFont val="Arial"/>
        <family val="2"/>
      </rPr>
      <t xml:space="preserve"> Die technische Wertung erfolgt über die detaillierte Prüfung der Erfüllung der Forderungen des Lastenhaftes, diese muss gegeben sein.
    Darüber hinaus können für die oben stehenden qualitativen Kriterien Punkte gemäß Beschreibung erreicht werden.</t>
    </r>
  </si>
  <si>
    <t>Berechnungsbeispiel</t>
  </si>
  <si>
    <t>Bewertungsbasis</t>
  </si>
  <si>
    <t>Gewichtung</t>
  </si>
  <si>
    <r>
      <rPr>
        <b/>
        <sz val="10"/>
        <color theme="0"/>
        <rFont val="Arial"/>
        <family val="2"/>
      </rPr>
      <t>Angebots-P</t>
    </r>
    <r>
      <rPr>
        <b/>
        <sz val="10"/>
        <color indexed="9"/>
        <rFont val="Arial"/>
        <family val="2"/>
      </rPr>
      <t xml:space="preserve">reis </t>
    </r>
  </si>
  <si>
    <t>Punktwerte</t>
  </si>
  <si>
    <t>Berechnung</t>
  </si>
  <si>
    <t>Subtrahend gemäß Wichtung [%]</t>
  </si>
  <si>
    <t>Subtrahend 
gemäß Wichtung [€]</t>
  </si>
  <si>
    <t>Bewertungspreis</t>
  </si>
  <si>
    <t>Rang</t>
  </si>
  <si>
    <t>Bieter</t>
  </si>
  <si>
    <t>Bieter 1</t>
  </si>
  <si>
    <t>/5 *</t>
  </si>
  <si>
    <t>+</t>
  </si>
  <si>
    <t>=</t>
  </si>
  <si>
    <t>Bieter 2</t>
  </si>
  <si>
    <t>Bieter 3</t>
  </si>
  <si>
    <t>Bieter 4</t>
  </si>
  <si>
    <t>1) projektspezifische Festlegung</t>
  </si>
  <si>
    <t>Zuschlag an Bieter</t>
  </si>
  <si>
    <t>Bieter 5</t>
  </si>
  <si>
    <t>Basispreis</t>
  </si>
  <si>
    <t>OZ alt</t>
  </si>
  <si>
    <t>Kurztext</t>
  </si>
  <si>
    <t>Mengeneinheit</t>
  </si>
  <si>
    <t xml:space="preserve">Einheitspreis </t>
  </si>
  <si>
    <t xml:space="preserve">Mengen </t>
  </si>
  <si>
    <t>Gesamtwert</t>
  </si>
  <si>
    <t>Block</t>
  </si>
  <si>
    <t>OZ</t>
  </si>
  <si>
    <t>Wichtungs-
Faktor</t>
  </si>
  <si>
    <t>Preis</t>
  </si>
  <si>
    <t>Faktor x Preis</t>
  </si>
  <si>
    <t>VR Bieterliste</t>
  </si>
  <si>
    <t>01.01.0030</t>
  </si>
  <si>
    <t>Bauzaun erstellen</t>
  </si>
  <si>
    <t>Meter</t>
  </si>
  <si>
    <t>nachgelagert</t>
  </si>
  <si>
    <t>03.01.0060</t>
  </si>
  <si>
    <t>Mehrpreis 3 waagerechte Stufen</t>
  </si>
  <si>
    <t>psch</t>
  </si>
  <si>
    <t>03.01.0060.</t>
  </si>
  <si>
    <t>Hier alte Preise übernehmen und Ergänzen</t>
  </si>
  <si>
    <t>03.02.0060</t>
  </si>
  <si>
    <t>03.02.0060.</t>
  </si>
  <si>
    <t>Angebot im Block</t>
  </si>
  <si>
    <t xml:space="preserve"> Bieter</t>
  </si>
  <si>
    <t>..</t>
  </si>
  <si>
    <t>.</t>
  </si>
  <si>
    <t>03.03.0060</t>
  </si>
  <si>
    <t>03.03.0060.</t>
  </si>
  <si>
    <t>ANgebotsfaktor 1</t>
  </si>
  <si>
    <t>Dropdown 70%.200%</t>
  </si>
  <si>
    <t>03.05.0020</t>
  </si>
  <si>
    <t>Untersichtsverkleidung</t>
  </si>
  <si>
    <t>m²</t>
  </si>
  <si>
    <t>03.04.0060</t>
  </si>
  <si>
    <t>ANgebotsfaktor 2</t>
  </si>
  <si>
    <t>03.04.0010</t>
  </si>
  <si>
    <t>Grundpreis Förderhöhe bis 6000 mm</t>
  </si>
  <si>
    <t>03.04.0060.</t>
  </si>
  <si>
    <t>ANgebotsfaktor 3</t>
  </si>
  <si>
    <t>03.06.0030</t>
  </si>
  <si>
    <t>Handlauf mit lotrechten Halteelementen</t>
  </si>
  <si>
    <t>03.04.0010.</t>
  </si>
  <si>
    <t>Grundpreis Förderhöhe bis  6000 mm</t>
  </si>
  <si>
    <t>ANgebotsfaktor 4</t>
  </si>
  <si>
    <t>04.01.0030</t>
  </si>
  <si>
    <t>Ripprohrheizung</t>
  </si>
  <si>
    <t>05.01.0090.</t>
  </si>
  <si>
    <t>ANgebotsfaktor 5</t>
  </si>
  <si>
    <t>03.06.0010</t>
  </si>
  <si>
    <t>Abdeckprofile zur festen Treppe</t>
  </si>
  <si>
    <t>04.03.0010.</t>
  </si>
  <si>
    <t>Frequenzumrichter</t>
  </si>
  <si>
    <t>ANgebotsfaktor 6</t>
  </si>
  <si>
    <t>03.06.0020</t>
  </si>
  <si>
    <t>Trennwand zur festen Treppe</t>
  </si>
  <si>
    <t>04.01.0010.</t>
  </si>
  <si>
    <t>Stufenkette innenliegende Rollen</t>
  </si>
  <si>
    <t>ANgebotsfaktor 7</t>
  </si>
  <si>
    <t>03.06.0040</t>
  </si>
  <si>
    <t>Anti-Rutscheinrichtung</t>
  </si>
  <si>
    <t>04.01.0020</t>
  </si>
  <si>
    <t>Stufenkette aussenliegende Rollen</t>
  </si>
  <si>
    <t>ANgebotsfaktor 8</t>
  </si>
  <si>
    <t>03.06.0050</t>
  </si>
  <si>
    <t>Abweiser aus Edelstahl</t>
  </si>
  <si>
    <t>04.02.0010.</t>
  </si>
  <si>
    <t>Fernüberwachung MQTT</t>
  </si>
  <si>
    <t>ANgebotsfaktor 9</t>
  </si>
  <si>
    <t>03.06.0060</t>
  </si>
  <si>
    <t>Verstärkungsbleche</t>
  </si>
  <si>
    <t>Stück</t>
  </si>
  <si>
    <t>04.02.0020.</t>
  </si>
  <si>
    <t>Fernüberwachung BAC Net IP</t>
  </si>
  <si>
    <t>ANgebotsfaktor 10</t>
  </si>
  <si>
    <t>03.07.0010</t>
  </si>
  <si>
    <t>Betriebsraum einschließlich Tür</t>
  </si>
  <si>
    <t>05.01.0010.</t>
  </si>
  <si>
    <t>Ölabscheider</t>
  </si>
  <si>
    <t>04.01.0010</t>
  </si>
  <si>
    <t>Tragkörperteilung</t>
  </si>
  <si>
    <t>05.01.0020.</t>
  </si>
  <si>
    <t>Stufenbeschichtung für erhöhte Rutschfestigkeit</t>
  </si>
  <si>
    <t>04.01.0040</t>
  </si>
  <si>
    <t>Anpassung Tragkörper plus 100 mm</t>
  </si>
  <si>
    <t>05.01.0030.</t>
  </si>
  <si>
    <t>Stufenbeschichtung Kunststoffüberzug</t>
  </si>
  <si>
    <t>04.01.0050</t>
  </si>
  <si>
    <t>Anpassung Tragkörper plus 200 mm</t>
  </si>
  <si>
    <t>05.01.0040.</t>
  </si>
  <si>
    <t>Stufenbeschichtung mit Antigraffitti-Pulver</t>
  </si>
  <si>
    <t>04.01.0060</t>
  </si>
  <si>
    <t>Anpassung Tragkörper plus 300 mm</t>
  </si>
  <si>
    <t>05.01.0050.</t>
  </si>
  <si>
    <t>Stufen gelber Rand</t>
  </si>
  <si>
    <t>04.02.0010</t>
  </si>
  <si>
    <t>zus. Auflager der Fahrtreppe</t>
  </si>
  <si>
    <t>05.01.0060.</t>
  </si>
  <si>
    <t>zusätzliches Tragelement für Zugschalter</t>
  </si>
  <si>
    <t>04.03.0010</t>
  </si>
  <si>
    <t>Krümmungsradius</t>
  </si>
  <si>
    <t>05.01.0070.</t>
  </si>
  <si>
    <t>05.01.0010</t>
  </si>
  <si>
    <t>05.01.0080.</t>
  </si>
  <si>
    <t>05.02.0010</t>
  </si>
  <si>
    <t>Stufenkette</t>
  </si>
  <si>
    <t>06.01.0010</t>
  </si>
  <si>
    <t>Vorgezogene Balustrade pro Landstelle</t>
  </si>
  <si>
    <t>05.01.0100.</t>
  </si>
  <si>
    <t>Abweiser aus Edelstahl bei Deckendurchbrüchen</t>
  </si>
  <si>
    <t>06.01.0020</t>
  </si>
  <si>
    <t>Mahrpreis Glasbalustrade pro lfd. Meter</t>
  </si>
  <si>
    <t>05.01.0110.</t>
  </si>
  <si>
    <t>06.01.0030</t>
  </si>
  <si>
    <t>Mehrpreis Glasbalustrade absturzsichernd</t>
  </si>
  <si>
    <t>05.01.0120.</t>
  </si>
  <si>
    <t>Verkehrslenkungsbügel</t>
  </si>
  <si>
    <t>06.01.0040</t>
  </si>
  <si>
    <t>Mehrpreis Vollwand Balustrade 1100 mm</t>
  </si>
  <si>
    <t>05.01.0130.</t>
  </si>
  <si>
    <t>07.01.0010</t>
  </si>
  <si>
    <t>Schaltsäule 1800 mm hoch mit Zugschalter</t>
  </si>
  <si>
    <t>05.01.0140.</t>
  </si>
  <si>
    <t>Anpassung Tragkörper plus minus 100 mm</t>
  </si>
  <si>
    <t>07.01.0020</t>
  </si>
  <si>
    <t>05.01.0150.</t>
  </si>
  <si>
    <t>Anpassung Tragkörper plus minus 200 mm</t>
  </si>
  <si>
    <t>07.03.0010</t>
  </si>
  <si>
    <t>zus. Notschalter als Zugschalter</t>
  </si>
  <si>
    <t>05.01.0160.</t>
  </si>
  <si>
    <t>Anpassung Tragkörper plus minus 300 mm</t>
  </si>
  <si>
    <t>07.03.0020</t>
  </si>
  <si>
    <t>zus. Tragelement für Zugschalter</t>
  </si>
  <si>
    <t>05.01.0170.</t>
  </si>
  <si>
    <t>Zusätzliches Auflager der Fahrtreppe</t>
  </si>
  <si>
    <t>07.04.0010</t>
  </si>
  <si>
    <t>Einzel Funktionsnachweis für Aufschaltung</t>
  </si>
  <si>
    <t>06.01.0010.</t>
  </si>
  <si>
    <t>Option Doppelantrieb</t>
  </si>
  <si>
    <t>Ripprohrheizung neuer Punkt</t>
  </si>
  <si>
    <t>06.01.0020.</t>
  </si>
  <si>
    <t>Sondermaßnahmen im Bereich von Gleichstrombahnen</t>
  </si>
  <si>
    <t>06.01.0030.</t>
  </si>
  <si>
    <t>zusätzlicher Nothaltschalter</t>
  </si>
  <si>
    <t>vorher im Grundpreis enthalten</t>
  </si>
  <si>
    <t>06.01.0040.</t>
  </si>
  <si>
    <t>Anpassung Schaltschrankhöhe</t>
  </si>
  <si>
    <t>06.01.0050.</t>
  </si>
  <si>
    <t>Anpassung Sockel Schaltschrank</t>
  </si>
  <si>
    <t>06.01.0060.</t>
  </si>
  <si>
    <t>Mehraufwand Entfernung Schaltschrank</t>
  </si>
  <si>
    <t>06.01.0070.</t>
  </si>
  <si>
    <t>Fahrtrcihtungsanzeige LED-Band in Bodenabdeckung</t>
  </si>
  <si>
    <t>06.01.0080.</t>
  </si>
  <si>
    <t>UVC Handlaufdesinfektion</t>
  </si>
  <si>
    <t>neue Position</t>
  </si>
  <si>
    <t>07.01.0010.</t>
  </si>
  <si>
    <t>Außenverkleidung mit Stoßfugen senkrecht zur Lauflinie des Stufenbandes</t>
  </si>
  <si>
    <t>07.01.0020.</t>
  </si>
  <si>
    <t>Untersichtverkleidung</t>
  </si>
  <si>
    <t>07.01.0030.</t>
  </si>
  <si>
    <t>07.01.0040.</t>
  </si>
  <si>
    <t>Abdeckprofile Spaltenabdeckung</t>
  </si>
  <si>
    <t>07.01.0050.</t>
  </si>
  <si>
    <t>Vorgezogene Balustrade pro Landestelle</t>
  </si>
  <si>
    <t>07.01.0060.</t>
  </si>
  <si>
    <t>Mehrpreis Glasbalustrade pro laufender Meter Förderhöhe einseitig</t>
  </si>
  <si>
    <t>07.01.0070.</t>
  </si>
  <si>
    <t>Mehrpreis Glasbalustrade absturzsichernd 1100 mm Höhe pro Meter Förderhöhe einseitig</t>
  </si>
  <si>
    <t>07.01.0080.</t>
  </si>
  <si>
    <t>Mehrpreis Vollwand Balustrade 1100 mm Höhe pro Meter Förderhöhe einseitig</t>
  </si>
  <si>
    <t>07.01.0090.</t>
  </si>
  <si>
    <t>07.01.0100.</t>
  </si>
  <si>
    <t>Verkleidung Steuerschrank in Wandnische</t>
  </si>
  <si>
    <t>Summe Produkte Block 1</t>
  </si>
  <si>
    <t>03.02.0020</t>
  </si>
  <si>
    <t>Grundpreis Förderhöhe &gt; 6000 mm-8000 mm</t>
  </si>
  <si>
    <t>03.01.0010.</t>
  </si>
  <si>
    <t>03.01.0010</t>
  </si>
  <si>
    <t>03.01.0020.</t>
  </si>
  <si>
    <t>Grundpreis Förderhöhe &gt;6000 - 8000 mm</t>
  </si>
  <si>
    <t>03.01.0020</t>
  </si>
  <si>
    <t>03.01.0030.</t>
  </si>
  <si>
    <t>Grundpreis Förderhöhe &gt;8000 - 10000 mm</t>
  </si>
  <si>
    <t>03.01.0030</t>
  </si>
  <si>
    <t>Grundpreis Förderhöhe &gt; 8000 mm-10000 mm</t>
  </si>
  <si>
    <t>03.01.0040.</t>
  </si>
  <si>
    <t>Grundpreis Förderhöhe &gt;10000 - 12000 mm</t>
  </si>
  <si>
    <t>03.01.0040</t>
  </si>
  <si>
    <t>Grundpreis Förderhöhe &gt; 10000 mm-12000 mm</t>
  </si>
  <si>
    <t>03.01.0050.</t>
  </si>
  <si>
    <t>Grundpreis Förderhöhe &gt;12000 - 18000 mm</t>
  </si>
  <si>
    <t>03.01.0050</t>
  </si>
  <si>
    <t>Grundpreis Förderhöhe &gt; 12000 mm-18000 mm</t>
  </si>
  <si>
    <t>03.02.0010.</t>
  </si>
  <si>
    <t>03.02.0010</t>
  </si>
  <si>
    <t>03.02.0020.</t>
  </si>
  <si>
    <t>03.02.0030</t>
  </si>
  <si>
    <t>03.02.0030.</t>
  </si>
  <si>
    <t>03.02.0040</t>
  </si>
  <si>
    <t>03.02.0040.</t>
  </si>
  <si>
    <t>03.02.0050</t>
  </si>
  <si>
    <t>03.02.0050.</t>
  </si>
  <si>
    <t>03.03.0010</t>
  </si>
  <si>
    <t>03.03.0010.</t>
  </si>
  <si>
    <t>03.03.0020</t>
  </si>
  <si>
    <t>03.03.0020.</t>
  </si>
  <si>
    <t>03.03.0030</t>
  </si>
  <si>
    <t>03.03.0030.</t>
  </si>
  <si>
    <t>03.03.0040</t>
  </si>
  <si>
    <t>03.03.0040.</t>
  </si>
  <si>
    <t>03.03.0050</t>
  </si>
  <si>
    <t>03.03.0050.</t>
  </si>
  <si>
    <t>03.04.0020</t>
  </si>
  <si>
    <t>03.04.0030</t>
  </si>
  <si>
    <t>03.04.0020.</t>
  </si>
  <si>
    <t>03.04.0040</t>
  </si>
  <si>
    <t>03.04.0030.</t>
  </si>
  <si>
    <t>03.04.0050</t>
  </si>
  <si>
    <t>03.04.0040.</t>
  </si>
  <si>
    <t>03.04.0050.</t>
  </si>
  <si>
    <t>Summe Produkte Block 2</t>
  </si>
  <si>
    <t>01.02.0010</t>
  </si>
  <si>
    <t>Verrechnungssatz Monteur</t>
  </si>
  <si>
    <t>Stunde</t>
  </si>
  <si>
    <t>02.01.0010.</t>
  </si>
  <si>
    <t>Digitale Dokumentation</t>
  </si>
  <si>
    <t>02.01.0020.</t>
  </si>
  <si>
    <t>Betriebsrelevante Dokumentation</t>
  </si>
  <si>
    <t>02.01.0030.</t>
  </si>
  <si>
    <t>Zusätzliche Papierdokumentation</t>
  </si>
  <si>
    <t>01.02.0020</t>
  </si>
  <si>
    <t>Zuschlag Monteur (Nacht-, Überstunden-, Sonn+Feiertage)</t>
  </si>
  <si>
    <t>01.01.0010.</t>
  </si>
  <si>
    <t>Verrechnungssatz für Monteure (auf Baustelle)</t>
  </si>
  <si>
    <t>01.02.0030</t>
  </si>
  <si>
    <t>Verrechnungssatz Meister</t>
  </si>
  <si>
    <t>01.01.0020.</t>
  </si>
  <si>
    <t>Monteure; Nacht-, Überstunden-, Sonn- und Feiertagszuschlag</t>
  </si>
  <si>
    <t>01.02.0040</t>
  </si>
  <si>
    <t>Zuschlag Meister (Nacht-, Überstunden-, Sonn+Feiertage)</t>
  </si>
  <si>
    <t>01.01.0030.</t>
  </si>
  <si>
    <t>Verrechnungssatz für Meister (auf Baustelle</t>
  </si>
  <si>
    <t>01.02.0050</t>
  </si>
  <si>
    <t>Verrechnungssatz Ingenieur</t>
  </si>
  <si>
    <t>01.01.0040.</t>
  </si>
  <si>
    <t>Meister; Nacht-, Überstunden-, Sonn- und Feiertagszuschlag</t>
  </si>
  <si>
    <t>01.02.0060</t>
  </si>
  <si>
    <t>Zuschlag Ingenieur (Nacht-, Überstunden-, Sonn+Feiertage)</t>
  </si>
  <si>
    <t>01.01.0050.</t>
  </si>
  <si>
    <t>Verrechnungssatz für Ingenieur (Bauüberwachung)</t>
  </si>
  <si>
    <t>01.03.0010</t>
  </si>
  <si>
    <t>Rückbau vorhandener Anlage</t>
  </si>
  <si>
    <t>01.01.0060.</t>
  </si>
  <si>
    <t>Ingenieur; Nacht-, Überstunden-, Sonn- und Feiertagszuschlag</t>
  </si>
  <si>
    <t>01.02.0010.</t>
  </si>
  <si>
    <t>13.01.0010.</t>
  </si>
  <si>
    <t xml:space="preserve">Anteil Inspektion und Wartung </t>
  </si>
  <si>
    <t>13.01.0020.</t>
  </si>
  <si>
    <t>Anteil Gesetzliche Prüfungen</t>
  </si>
  <si>
    <t>13.01.0030.</t>
  </si>
  <si>
    <t>Anteil DGUV V3-Prüfung</t>
  </si>
  <si>
    <t>13.01.0040.</t>
  </si>
  <si>
    <t xml:space="preserve">Anteil Störungsbeseitigung &amp; Entstörung </t>
  </si>
  <si>
    <t>13.02.0010.</t>
  </si>
  <si>
    <t>SVS Monteurstunde (7:00 -20:00 Uhr)</t>
  </si>
  <si>
    <t>13.02.0020.</t>
  </si>
  <si>
    <t>SVS Monteurstunde (22:00 - 7:00 Uhr)</t>
  </si>
  <si>
    <t>13.02.0030.</t>
  </si>
  <si>
    <t>SVS Monteurstunde (Sonn- und Feiertage)</t>
  </si>
  <si>
    <t>10.01.0010.</t>
  </si>
  <si>
    <t>Produktschulung Fahrtreppe</t>
  </si>
  <si>
    <t>Summe Produkte Block 3</t>
  </si>
  <si>
    <t>08.01.0010.</t>
  </si>
  <si>
    <t>Rückbau des Bodenfliesen-  bzw. Plattenbelages Austritte</t>
  </si>
  <si>
    <t>08.01.0020.</t>
  </si>
  <si>
    <t>Rückbau des Platten- bzw. Pflasterbelages Austritte</t>
  </si>
  <si>
    <t>08.01.0030.</t>
  </si>
  <si>
    <t>Abruch / Freistemmen Treppenauflager</t>
  </si>
  <si>
    <t>08.01.0040.</t>
  </si>
  <si>
    <t>Rückbau von Tränen- oder Riffelblechbelag</t>
  </si>
  <si>
    <t>08.01.0050.</t>
  </si>
  <si>
    <t>Rückbau Wandfliesen seitlich über der Fahrtreppe</t>
  </si>
  <si>
    <t>08.01.0060.</t>
  </si>
  <si>
    <t>Abbruch Betonsockel oder Mauerwerksvorsprüngen</t>
  </si>
  <si>
    <t>08.01.0070.</t>
  </si>
  <si>
    <t>Herstellen von Deckenöffnungen abgehängte Trockenbaudecke</t>
  </si>
  <si>
    <t>08.01.0080.</t>
  </si>
  <si>
    <t>Herstellen von Deckenöffnungen Panel-Unterhangdecke Stahlblech</t>
  </si>
  <si>
    <t>08.01.0090.</t>
  </si>
  <si>
    <t>Herstellen von Deckenöffnungen Gitterrostunterhangdecke</t>
  </si>
  <si>
    <t>08.01.0100.</t>
  </si>
  <si>
    <t>Erstellung Kernbohrung bis Größe 100 mm</t>
  </si>
  <si>
    <t>08.01.0110.</t>
  </si>
  <si>
    <t>Abbruch-/ Stemmarbeiten auf Nachweis</t>
  </si>
  <si>
    <t>08.02.0010.</t>
  </si>
  <si>
    <t>Erneuerung Bodenfliesen / Steinbelagsplatten</t>
  </si>
  <si>
    <t>08.02.0020.</t>
  </si>
  <si>
    <t>Pflasterarbeiten</t>
  </si>
  <si>
    <t>08.02.0030.</t>
  </si>
  <si>
    <t>Erneuerung Wandfliesen</t>
  </si>
  <si>
    <t>08.02.0040.</t>
  </si>
  <si>
    <t>Estricharbeiten</t>
  </si>
  <si>
    <t>08.02.0050.</t>
  </si>
  <si>
    <t>Maueraussparung verschließen Wandstärke bis 0,36 m</t>
  </si>
  <si>
    <t>08.02.0060.</t>
  </si>
  <si>
    <t>Maueraussparung verschließen Wandstärke bis 0,24 m</t>
  </si>
  <si>
    <t>08.02.0070.</t>
  </si>
  <si>
    <t>Maueraussparung verschließen Wandstärke bis 0,12 m</t>
  </si>
  <si>
    <t>08.02.0080.</t>
  </si>
  <si>
    <t>GK Unterdecke verschließen</t>
  </si>
  <si>
    <t>08.02.0090.</t>
  </si>
  <si>
    <t>Maurer- und Putzarbeiten auf Nachweis</t>
  </si>
  <si>
    <t>08.02.0100.</t>
  </si>
  <si>
    <t>Bautechnische Instandsetzung der Auflagerpunkte</t>
  </si>
  <si>
    <t>08.03.0010.</t>
  </si>
  <si>
    <t>Demontage und Wiedermontage vorhandener Geländer und Handläufe</t>
  </si>
  <si>
    <t>08.03.0020.</t>
  </si>
  <si>
    <t>Verkleidungsbleche Fachwerk untere Umkehrstation</t>
  </si>
  <si>
    <t>08.03.0030.</t>
  </si>
  <si>
    <t>Gitterrost für untere Fahrtreppenumkehrstation</t>
  </si>
  <si>
    <t>08.03.0040.</t>
  </si>
  <si>
    <t>Abdeckbleche</t>
  </si>
  <si>
    <t>08.03.0050.</t>
  </si>
  <si>
    <t>Schlosser- und Stahlbauarbeiten auf Nachweis.</t>
  </si>
  <si>
    <t>08.04.0010.</t>
  </si>
  <si>
    <t>Versiegelung Fußbodenoberfläche</t>
  </si>
  <si>
    <t>08.04.0020.</t>
  </si>
  <si>
    <t>Anstrich / Beschichtung von Wänden und Decken</t>
  </si>
  <si>
    <t>08.04.0030.</t>
  </si>
  <si>
    <t>Fugenabdichtung Silikon</t>
  </si>
  <si>
    <t>08.04.0040.</t>
  </si>
  <si>
    <t>Malerarbeiten auf Nachweis.</t>
  </si>
  <si>
    <t>08.05.0010.</t>
  </si>
  <si>
    <t>Anschluss Ölabscheiders</t>
  </si>
  <si>
    <t>08.05.0020.</t>
  </si>
  <si>
    <t>Sanitär- und Klempnerarbeiten auf Nachweis.</t>
  </si>
  <si>
    <t>08.06.0010.</t>
  </si>
  <si>
    <t>Reinigung Wand- und Bodenbereiche</t>
  </si>
  <si>
    <t>08.06.0020.</t>
  </si>
  <si>
    <t>Reinigungsarbeiten auf Nachweis.</t>
  </si>
  <si>
    <t>08.07.0010.</t>
  </si>
  <si>
    <t>Genehmigung einholen</t>
  </si>
  <si>
    <t>08.07.0020.</t>
  </si>
  <si>
    <t>PVC-Folienabdeckung der Standflächen</t>
  </si>
  <si>
    <t>08.07.0030.</t>
  </si>
  <si>
    <t>Tagesgerüst Gerüstgruppe 3 200 kg/m2</t>
  </si>
  <si>
    <t>08.07.0040.</t>
  </si>
  <si>
    <t>Zusätzliche Gerüstvorhaltung Tagesgerüst</t>
  </si>
  <si>
    <t>08.07.0050.</t>
  </si>
  <si>
    <t>Raumgerüst Gerüstgruppe 3 200 kg/m2</t>
  </si>
  <si>
    <t>08.07.0060.</t>
  </si>
  <si>
    <t>Zusätzliche Gerüstvorhaltung Raumgerüst</t>
  </si>
  <si>
    <t>08.07.0070.</t>
  </si>
  <si>
    <t>Fahrgerüst Gerüstgruppe 3 200 kg/m2</t>
  </si>
  <si>
    <t>08.07.0080.</t>
  </si>
  <si>
    <t>Fahrgerüst Gerüstgruppe 4 300 kg/m2</t>
  </si>
  <si>
    <t>08.07.0090.</t>
  </si>
  <si>
    <t>Fassadengerüst Gerüstgruppe 4 300 kg/m2</t>
  </si>
  <si>
    <t>08.07.0100.</t>
  </si>
  <si>
    <t>Zusätzliche Gerüstvorhaltung Fassadengerüst</t>
  </si>
  <si>
    <t>08.07.0110.</t>
  </si>
  <si>
    <t>Abplanen Arbeitsgerüstes</t>
  </si>
  <si>
    <t>08.07.0120.</t>
  </si>
  <si>
    <t>Mehraufwand zusätzliches Auf- und Abbauen Raumgerüst</t>
  </si>
  <si>
    <t>08.07.0130.</t>
  </si>
  <si>
    <t>Mehraufwand zusätzliches Auf- und Abbauen Fassaden- und Tagesgerüst</t>
  </si>
  <si>
    <t>08.07.0140.</t>
  </si>
  <si>
    <t>Mehraufwand Aufstellung Raumgerüst nachts</t>
  </si>
  <si>
    <t>08.07.0150.</t>
  </si>
  <si>
    <t>Mehraufwand Aufstellung Tagesgerüst oder Fassadengerüst nachts</t>
  </si>
  <si>
    <t>08.07.0160.</t>
  </si>
  <si>
    <t>Gerüstarbeiten auf Nachweis.</t>
  </si>
  <si>
    <t>08.08.0010.</t>
  </si>
  <si>
    <t>Brandschott als Kombi-Weichschott in Decken</t>
  </si>
  <si>
    <t>08.08.0020.</t>
  </si>
  <si>
    <t>Brandschott als Kombi-Weichschott in Wänden</t>
  </si>
  <si>
    <t>08.08.0030.</t>
  </si>
  <si>
    <t>Brandschott als einlagiger Weichschott in Decken</t>
  </si>
  <si>
    <t>08.08.0040.</t>
  </si>
  <si>
    <t>Brandschott als einlagiger Weichschott in Wänden</t>
  </si>
  <si>
    <t>08.08.0050.</t>
  </si>
  <si>
    <t>Brandschott als Mörtelschott in Decken</t>
  </si>
  <si>
    <t>08.08.0060.</t>
  </si>
  <si>
    <t>Brandschott als Mörtelschott in masiven Wänden</t>
  </si>
  <si>
    <t>08.08.0070.</t>
  </si>
  <si>
    <t>Brandschutzarbeiten auf Nachweis.</t>
  </si>
  <si>
    <t>08.09.0010.</t>
  </si>
  <si>
    <t>Elektrische Freischaltung der Altanlage</t>
  </si>
  <si>
    <t>08.09.0020.</t>
  </si>
  <si>
    <t>Baustromanschluss für Monateg der maschinetechnischen Anlagen</t>
  </si>
  <si>
    <t>08.09.0030.</t>
  </si>
  <si>
    <t>Demontage Kabel / Leitungen</t>
  </si>
  <si>
    <t>08.09.0040.</t>
  </si>
  <si>
    <t>08.09.0050.</t>
  </si>
  <si>
    <t>Demontage Bestandsverteilung UV S&amp;S</t>
  </si>
  <si>
    <t>08.09.0060.</t>
  </si>
  <si>
    <t>Anschluss für Anlagen bis 5x 2,5 mm²</t>
  </si>
  <si>
    <t>08.09.0070.</t>
  </si>
  <si>
    <t>Anschluss für Anlagen bis 5x16 mm²</t>
  </si>
  <si>
    <t>08.09.0080.</t>
  </si>
  <si>
    <t>Anschluss für Anlagen bis 5x25 mm²</t>
  </si>
  <si>
    <t>08.09.0090.</t>
  </si>
  <si>
    <t>Anschluss für Anlagen bis 5x70 mm²</t>
  </si>
  <si>
    <t>08.09.0100.</t>
  </si>
  <si>
    <t>Abzweig- und Verbindungsdose 80/80 mm</t>
  </si>
  <si>
    <t>08.09.0110.</t>
  </si>
  <si>
    <t>Abzweig- und Verbindungsdose 100/100 mm</t>
  </si>
  <si>
    <t>08.09.0120.</t>
  </si>
  <si>
    <t>Kunststoffkabel NYY - J 3 x 1,5 mm²</t>
  </si>
  <si>
    <t>08.09.0130.</t>
  </si>
  <si>
    <t>Kunststoffkabel NYY - J 3 x 2,5 mm²</t>
  </si>
  <si>
    <t>08.09.0140.</t>
  </si>
  <si>
    <t>Kunststoffkabel NYY - J 3 x 4 mm²</t>
  </si>
  <si>
    <t>08.09.0150.</t>
  </si>
  <si>
    <t>Kunststoffkabel NYY - J 5 x 4 mm²</t>
  </si>
  <si>
    <t>08.09.0160.</t>
  </si>
  <si>
    <t>Kunststoffkabel NYY - J 5 x 6 mm²</t>
  </si>
  <si>
    <t>08.09.0170.</t>
  </si>
  <si>
    <t>08.09.0180.</t>
  </si>
  <si>
    <t>Kunststoffkabel NYY - J 5 x 10 mm²</t>
  </si>
  <si>
    <t>08.09.0190.</t>
  </si>
  <si>
    <t>Kunststoffkabel NYY - J 5 x 16 mm²</t>
  </si>
  <si>
    <t>08.09.0200.</t>
  </si>
  <si>
    <t>Kunststoffkabel NYY - J 5 x 25 mm²</t>
  </si>
  <si>
    <t>08.09.0210.</t>
  </si>
  <si>
    <t>Kunststoffkabel NYY - O 4 x 6 mm²</t>
  </si>
  <si>
    <t>08.09.0220.</t>
  </si>
  <si>
    <t>Kunststoffkabel NYY - O 4 x 10 mm²</t>
  </si>
  <si>
    <t>08.09.0230.</t>
  </si>
  <si>
    <t>Kunststoffkabel NYY - O 4 x 16 mm²</t>
  </si>
  <si>
    <t>08.09.0240.</t>
  </si>
  <si>
    <t>Kunststoffkabel NYY - O 4 x 25 mm²</t>
  </si>
  <si>
    <t>08.09.0250.</t>
  </si>
  <si>
    <t>Kunststoffkabel NYY - O 4 x 35 mm²</t>
  </si>
  <si>
    <t>08.09.0260.</t>
  </si>
  <si>
    <t>Kunststoffkabel NYY - O 4 x 50 mm²</t>
  </si>
  <si>
    <t>08.09.0270.</t>
  </si>
  <si>
    <t>Kunststoffkabel NYY - O 1 x 50 mm²</t>
  </si>
  <si>
    <t>08.09.0280.</t>
  </si>
  <si>
    <t>Kunststoffkabel NYY - O 1 x 70 mm²</t>
  </si>
  <si>
    <t>08.09.0290.</t>
  </si>
  <si>
    <t>Kunststoffkabel NYY - J 1 x 16 mm²</t>
  </si>
  <si>
    <t>08.09.0300.</t>
  </si>
  <si>
    <t>Kunststoffkabel NYY - J 1 x 25 mm²</t>
  </si>
  <si>
    <t>08.09.0310.</t>
  </si>
  <si>
    <t>Kunststoffkabel NYY - J 1 x 35 mm²</t>
  </si>
  <si>
    <t>01.01.0020</t>
  </si>
  <si>
    <t>Baustelle beräumen</t>
  </si>
  <si>
    <t>08.09.0320.</t>
  </si>
  <si>
    <t>Kunststoffkabel NYY - J 1 x 50 mm²</t>
  </si>
  <si>
    <t>01.01.0010</t>
  </si>
  <si>
    <t>Baustelle einrichten</t>
  </si>
  <si>
    <t>08.09.0330.</t>
  </si>
  <si>
    <t>Kunststoffkabel NYY - J 1 x 70 mm²</t>
  </si>
  <si>
    <t>01.03.</t>
  </si>
  <si>
    <t>Baufeldfreimachung</t>
  </si>
  <si>
    <t>08.09.0340.</t>
  </si>
  <si>
    <t>Erneuerung Potentialausgleichschiene</t>
  </si>
  <si>
    <t>01.04.0010</t>
  </si>
  <si>
    <t>Transportkosten bis 50 km</t>
  </si>
  <si>
    <t>08.09.0350.</t>
  </si>
  <si>
    <t>Bahnerdung Anschluss Fahrschiene / Gleis</t>
  </si>
  <si>
    <t>01.04.0020</t>
  </si>
  <si>
    <t>Transportkosten bis 100 km</t>
  </si>
  <si>
    <t>08.09.0360.</t>
  </si>
  <si>
    <t>Bahnerdung Anschluss Fahrtreppe</t>
  </si>
  <si>
    <t>01.04.0030</t>
  </si>
  <si>
    <t>Transportkosten bis 150 km</t>
  </si>
  <si>
    <t>08.09.0370.</t>
  </si>
  <si>
    <t>Korrosionsschutz für Erdungsleitungen</t>
  </si>
  <si>
    <t>01.04.0040</t>
  </si>
  <si>
    <t>Transportkosten bis 200 km</t>
  </si>
  <si>
    <t>08.09.0380.</t>
  </si>
  <si>
    <t>Vorhandenen Kabelschacht öffnen und schließen</t>
  </si>
  <si>
    <t>01.04.0050</t>
  </si>
  <si>
    <t>Transportkosten bis 250 km</t>
  </si>
  <si>
    <t>08.09.0390.</t>
  </si>
  <si>
    <t>Stahlpanzerrohr verzinkt,  Nenngröße 32</t>
  </si>
  <si>
    <t>01.04.0060</t>
  </si>
  <si>
    <t>Transportkosten bis 300 km</t>
  </si>
  <si>
    <t>08.09.0400.</t>
  </si>
  <si>
    <t>Stahlrohr schwere druckfeste Ausfürhung DN 50</t>
  </si>
  <si>
    <t>01.04.0070</t>
  </si>
  <si>
    <t>Transportkosten bis 400 km</t>
  </si>
  <si>
    <t>08.09.0410.</t>
  </si>
  <si>
    <t>Leitungsführungskanal Stahlblech 40/60</t>
  </si>
  <si>
    <t>01.04.0080</t>
  </si>
  <si>
    <t>Transportkosten bis 500 km</t>
  </si>
  <si>
    <t>08.09.0420.</t>
  </si>
  <si>
    <t>Leitungsführungskanal Stahlblech 60/60</t>
  </si>
  <si>
    <t>01.04.0090</t>
  </si>
  <si>
    <t>Transportkosten bis 600 km</t>
  </si>
  <si>
    <t>08.09.0430.</t>
  </si>
  <si>
    <t>Leitungsführungskanal Stahlblech 60/100</t>
  </si>
  <si>
    <t>01.04.0100</t>
  </si>
  <si>
    <t>Transportkosten bis 700 km</t>
  </si>
  <si>
    <t>08.09.0440.</t>
  </si>
  <si>
    <t>Leitungsführungskanal Stahlblech 60/150</t>
  </si>
  <si>
    <t>01.04.0110</t>
  </si>
  <si>
    <t>Transportkosten bis 800 km</t>
  </si>
  <si>
    <t>08.09.0450.</t>
  </si>
  <si>
    <t>Leitungsführungskanal Stahlblech 60/200</t>
  </si>
  <si>
    <t>01.04.0120</t>
  </si>
  <si>
    <t>Transportkosten bis 900 km</t>
  </si>
  <si>
    <t>08.09.0460.</t>
  </si>
  <si>
    <t>Unterflurkanal 30/250</t>
  </si>
  <si>
    <t>01.04.0130</t>
  </si>
  <si>
    <t>Transportkosten über 900 km</t>
  </si>
  <si>
    <t>08.09.0470.</t>
  </si>
  <si>
    <t>Unterflurkanal 40/250</t>
  </si>
  <si>
    <t>01.05.0010</t>
  </si>
  <si>
    <t>Umladen am Einbauort</t>
  </si>
  <si>
    <t>08.09.0480.</t>
  </si>
  <si>
    <t>Kennzeichnung</t>
  </si>
  <si>
    <t>Mehrpreis Korrossionsschutz C4 lang</t>
  </si>
  <si>
    <t>08.09.0490.</t>
  </si>
  <si>
    <t>Inbetriebnahme, Besichtigung und Erprobung</t>
  </si>
  <si>
    <t>05.03.0010</t>
  </si>
  <si>
    <t>Mehrpreis Getriebe</t>
  </si>
  <si>
    <t>08.09.0500.</t>
  </si>
  <si>
    <t>Elektroarbeiten auf Nachweis.</t>
  </si>
  <si>
    <t>11.__.0010.</t>
  </si>
  <si>
    <t>11.__.0020.</t>
  </si>
  <si>
    <t>11.__.0030.</t>
  </si>
  <si>
    <t>Summe Produkte Block 4</t>
  </si>
  <si>
    <t>12.01.0010.</t>
  </si>
  <si>
    <t>Kammsegment</t>
  </si>
  <si>
    <t>12.01.0020.</t>
  </si>
  <si>
    <t>Kammplatte (ohne Anbauteile)</t>
  </si>
  <si>
    <t>12.01.0030.</t>
  </si>
  <si>
    <t>Abdeckplatte</t>
  </si>
  <si>
    <t>12.01.0040.</t>
  </si>
  <si>
    <t>Kammplattenschalter</t>
  </si>
  <si>
    <t>12.01.0050.</t>
  </si>
  <si>
    <t>Kammplattenbeleuchtung</t>
  </si>
  <si>
    <t>12.02.0010.</t>
  </si>
  <si>
    <t>Handlaufeinführung</t>
  </si>
  <si>
    <t>12.02.0020.</t>
  </si>
  <si>
    <t>Handlaufumlenkrad</t>
  </si>
  <si>
    <t>12.02.0030.</t>
  </si>
  <si>
    <t>Handlaufumführungsbogen</t>
  </si>
  <si>
    <t>12.02.0040.</t>
  </si>
  <si>
    <t>Handlaufantriebsrad</t>
  </si>
  <si>
    <t>12.02.0050.</t>
  </si>
  <si>
    <t>Handlauf mit Keil (ohne Montage)</t>
  </si>
  <si>
    <t>12.02.0060.</t>
  </si>
  <si>
    <t>Flachhandlauf (ohne Montage)</t>
  </si>
  <si>
    <t>12.02.0070.</t>
  </si>
  <si>
    <t>Handlaufeinführungsschalter</t>
  </si>
  <si>
    <t>12.03.0010.</t>
  </si>
  <si>
    <t>Stufe 1000 mm breit ohne Rollen</t>
  </si>
  <si>
    <t>12.03.0020.</t>
  </si>
  <si>
    <t>Stufe 1000 mm breit komplett mit Rollen</t>
  </si>
  <si>
    <t>12.03.0030.</t>
  </si>
  <si>
    <t>Stufe 800 mm breit</t>
  </si>
  <si>
    <t>12.03.0040.</t>
  </si>
  <si>
    <t>Stufe 800 mm breit komplett mit Rollen</t>
  </si>
  <si>
    <t>12.03.0050.</t>
  </si>
  <si>
    <t>Stufen- / Schlepprollen</t>
  </si>
  <si>
    <t>12.03.0060.</t>
  </si>
  <si>
    <t>Stufenbruchschalter</t>
  </si>
  <si>
    <t>12.03.0070.</t>
  </si>
  <si>
    <t>12.03.0080.</t>
  </si>
  <si>
    <t>Stufenkettenbruchschalter</t>
  </si>
  <si>
    <t>12.03.0090.</t>
  </si>
  <si>
    <t>Stufeneinweiser je FT Seite</t>
  </si>
  <si>
    <t>12.03.0100.</t>
  </si>
  <si>
    <t>Lichtschranke</t>
  </si>
  <si>
    <t>12.03.0110.</t>
  </si>
  <si>
    <t>Sockelbürsten</t>
  </si>
  <si>
    <t>12.03.0120.</t>
  </si>
  <si>
    <t>Fahrtrichtungsanzeige kpl.</t>
  </si>
  <si>
    <t>12.03.0130.</t>
  </si>
  <si>
    <t>Stufe 1000 mm breit (ohne Rollen) Standardkunststoffbeschichtung mit gelben Rand</t>
  </si>
  <si>
    <t>12.03.0140.</t>
  </si>
  <si>
    <t>Stufe 1000 mm breit (kpl. mit Rollen) Standardkunststoffbeschichtung mit gelben Rand</t>
  </si>
  <si>
    <t>12.03.0150.</t>
  </si>
  <si>
    <t>Stufe 800 mm breit (ohne Rollen) Standardkunststoffbeschichtung mit gelben Rand</t>
  </si>
  <si>
    <t>12.03.0160.</t>
  </si>
  <si>
    <t>Stufe 800 mm breit (kpl. mit Rollen) Standardkunststoffbeschichtung mit gelben Rand</t>
  </si>
  <si>
    <t>12.03.0170.</t>
  </si>
  <si>
    <t>Stufe 1000 mm breit (ohne Rollen) Antigraffittisbeschichtung</t>
  </si>
  <si>
    <t>12.03.0180.</t>
  </si>
  <si>
    <t>Stufe 1000 mm breit (kpl. mit Rollen) Antigraffittisbeschichtung</t>
  </si>
  <si>
    <t>12.03.0190.</t>
  </si>
  <si>
    <t>Stufe 800 mm breit (ohne Rollen) Antigraffittisbeschichtung</t>
  </si>
  <si>
    <t>12.03.0200.</t>
  </si>
  <si>
    <t>Stufe 800 mm breit (kpl. mit Rollen) Antigraffittisbeschichtung</t>
  </si>
  <si>
    <t>12.03.0210.</t>
  </si>
  <si>
    <t>Sockelbürste Endstück li/re</t>
  </si>
  <si>
    <t>Alle gleich wichtig?</t>
  </si>
  <si>
    <t>12.03.0220.</t>
  </si>
  <si>
    <t>Radarsensor(en) je Zugang</t>
  </si>
  <si>
    <t>12.03.0230.</t>
  </si>
  <si>
    <t>12.03.0240.</t>
  </si>
  <si>
    <t>Einzelne LS (Sender und Empfänger) der WBS</t>
  </si>
  <si>
    <t>12.03.0250.</t>
  </si>
  <si>
    <t>Komplette WBS (beidseitig)</t>
  </si>
  <si>
    <t>12.04.0010.</t>
  </si>
  <si>
    <t>Antriebsmotor</t>
  </si>
  <si>
    <t>12.04.0020.</t>
  </si>
  <si>
    <t>Getriebe</t>
  </si>
  <si>
    <t>12.04.0030.</t>
  </si>
  <si>
    <t>Bremsmagnet</t>
  </si>
  <si>
    <t>12.04.0040.</t>
  </si>
  <si>
    <t>Bremsbacke komplett</t>
  </si>
  <si>
    <t>12.04.0050.</t>
  </si>
  <si>
    <t>Initiator für Hauptantriebskette</t>
  </si>
  <si>
    <t>12.04.0060.</t>
  </si>
  <si>
    <t>Hauptantriebskette</t>
  </si>
  <si>
    <t>Summe Produkte Block 5</t>
  </si>
  <si>
    <t>Preis aus Block</t>
  </si>
  <si>
    <t>Faktor x Punkte</t>
  </si>
  <si>
    <t>Block 1 Grundausstattung</t>
  </si>
  <si>
    <t>Block 2 Grundkörper</t>
  </si>
  <si>
    <t>Block 3 Dienstleistung</t>
  </si>
  <si>
    <t>Block 4 Bauleistungen</t>
  </si>
  <si>
    <t>Block 5 Ersatzteile</t>
  </si>
  <si>
    <t>12.04.</t>
  </si>
  <si>
    <t>Antrieb</t>
  </si>
  <si>
    <t>Angebots-Preis</t>
  </si>
  <si>
    <t xml:space="preserve">Achtung: </t>
  </si>
  <si>
    <t>Die Mengenangaben des Rahmenvertrages bleiben von den Wichtungsfaktoren unberührt. Diese dienen lediglich der Angebotswertung.</t>
  </si>
  <si>
    <t>?</t>
  </si>
  <si>
    <r>
      <t xml:space="preserve">4. </t>
    </r>
    <r>
      <rPr>
        <b/>
        <sz val="12"/>
        <color indexed="12"/>
        <rFont val="Arial"/>
        <family val="2"/>
      </rPr>
      <t>Drucken</t>
    </r>
  </si>
  <si>
    <t>Angebotsqualität 
&gt; 100%</t>
  </si>
  <si>
    <t>Terminplanung</t>
  </si>
  <si>
    <t>Logistik</t>
  </si>
  <si>
    <t>Eigenfertigungstiefe</t>
  </si>
  <si>
    <t>Umwelt</t>
  </si>
  <si>
    <t>1)</t>
  </si>
  <si>
    <t>2)</t>
  </si>
  <si>
    <t>Zeiten für Arbeitsvorbereitung ausgewiesen und technisch nachvollziehbar</t>
  </si>
  <si>
    <t>Material reserviert, Liefertermine ausgewiesen</t>
  </si>
  <si>
    <t>Eigenfertigungstiefe Bieter/BIEGE mind. ______%</t>
  </si>
  <si>
    <t>Vermeidung des Einbaus nicht rückbaubarer, bzw. recyclingfähiger Produkte dargestellt</t>
  </si>
  <si>
    <t>Gewerkeuntersetzung dargestellt</t>
  </si>
  <si>
    <t>Abstimmung mit örtlichen Behörden (Zulassung für Straßen, mögliches Fahrverbot)</t>
  </si>
  <si>
    <t>Entsorgungskonzept für die unterschiedlich kontaminierten Baustoffe vorhanden und technisch nachvollziehbar</t>
  </si>
  <si>
    <t>Beweissicherung (Straßenschäden u.ä.) geplant und ausgewiesen</t>
  </si>
  <si>
    <t>Rückfallebene / Redundanzen (z.B. bei Maschinen) ausgewiesen und technisch nachvollziehbar</t>
  </si>
  <si>
    <t>Havarie- bzw. Reparaturkonzept vorgelegt und technisch nachvollziehbar</t>
  </si>
  <si>
    <t>Pufferzeit von _____% ausgewiesen (Beginn Inbetriebnahme) und für Auftraggeber verfügbar</t>
  </si>
  <si>
    <t>Wiederaufbereitung und Entsorgung technisch nachvollziehbar (zertifizierte Stellen) dargestellt</t>
  </si>
  <si>
    <t>Konzept zur Abfall- und Abwasservermeidung vorhanden und technisch nachvollziehbar</t>
  </si>
  <si>
    <t xml:space="preserve">Planlaufzeiten gemäß Vorgaben des Auftraggebers ausgewiesen </t>
  </si>
  <si>
    <t>Zertifizierung für (vom Bieter vorgeschlagene) Baustoffe vorhanden</t>
  </si>
  <si>
    <t>Reduktion der Emissionswerte durch Bautechnologie und technische Ausstattung des Fuhr- und Gerätepark (ggü. den gesetzlichen Vorgaben) erläutert</t>
  </si>
  <si>
    <t>Vorgaben) erläutert</t>
  </si>
  <si>
    <t>Erwartungshorizont Angebotsqualität 
= 100%</t>
  </si>
  <si>
    <t>Logistik erkennbar und technisch nachvollziehbar</t>
  </si>
  <si>
    <t>Darstellung der Schnittstellen zwischen den ausführenden Unternehmen: Koordinierung &amp; Kommunikation zwischen</t>
  </si>
  <si>
    <t>Einflußgröße Erschütterung dargestellt und reduziert</t>
  </si>
  <si>
    <t>betriebliche Auswirkung von Nebenangeboten dargestellt und technisch nachvollziehbar (sofern angeboten)</t>
  </si>
  <si>
    <t>Losen / Gewerken beachtet, technisch nachvollziehbar und ausgewiesen</t>
  </si>
  <si>
    <t>Einflußgröße Luftverschmutzung dargestellt und reduziert</t>
  </si>
  <si>
    <t>Abnahmezeiten berücksichtigt, technisch nachvollziehbar und ausgewiesen</t>
  </si>
  <si>
    <t>Nachvollziehbare Darstellung der Verbindung zum Tarifbahnhof und wenn nötig der Reaktivierung von Rangierzuggleisen</t>
  </si>
  <si>
    <t>Vermeidung unnötiger Transportkosten und -wege dargestellt und technisch nachvollziehbar</t>
  </si>
  <si>
    <t>Darstellung, bzw. Bestätigung, dass im Angebot auf die Verwendung umweltschädlicher Stoffe / Produkte verzichtet</t>
  </si>
  <si>
    <t>wurde, sofern Alternativen am Markt zur Verfügung stehen.</t>
  </si>
  <si>
    <t>Angebotsqualität 
&lt; 100%</t>
  </si>
  <si>
    <t>Detaillierung technisch nachvollziehbar dargestellt</t>
  </si>
  <si>
    <t>Grundkonzept detailliert (auf Bauphasen abgestimmt)  und dargestellt.</t>
  </si>
  <si>
    <t>Gefahren für Anwohner und Bestand aus Bautechnologien dargestellt und minimiert</t>
  </si>
  <si>
    <t>Berücksichtigung betriebliche Vorgaben (technisch nachvollziehbar dargestellt und ausgewiesen)</t>
  </si>
  <si>
    <t>Baustelleneinrichtungsplan und Transportkonzept inkl. Transportwege dargestellt und technisch nachvollziehbar</t>
  </si>
  <si>
    <t>Reduktion der Flächeninanspruchnahme dargestellt und technisch nachvollziehbar</t>
  </si>
  <si>
    <t>(Lagerfläche + Zufahrt, Übergabestellen)</t>
  </si>
  <si>
    <t>Gesamtplausibilität vorhanden</t>
  </si>
  <si>
    <t xml:space="preserve">Erläuterungsbericht technisch nachvollziehbar (logistische Schnittstellen / Straße oder Bahn) </t>
  </si>
  <si>
    <t>Auflagen (Umwelt) aus Planfeststellung, bzw. Plangenehmigung in Umweltkonzept dargestellt und umgesetzt</t>
  </si>
  <si>
    <t>Abhängigkeiteten dargestellt und technisch nachvollziehbar ausgewiesen</t>
  </si>
  <si>
    <t>Übersichtspläne (Sicherheits- und Gesundheitsplan) berücksichtigt / technisch nachvollziehbar</t>
  </si>
  <si>
    <t>Emissionswerte Fuhr- und Gerätepark dargestellt und technisch nachvollziehbar (Grenzwerte)</t>
  </si>
  <si>
    <t>Flächeninanspruchnahme dargestellt und technisch nachvollziehbar</t>
  </si>
  <si>
    <t xml:space="preserve">Mit steigendem Punktwert werden umfangreichere und detailliertere Kriterien gefordert. Die jeweils vollständige Erfüllung ist für die Erreichung des zugeordneten Punktwerts erforderlich. </t>
  </si>
  <si>
    <t>Die "Eigenfertigungstiefe Bieter/BIEGE" entspricht dem Anteil der Angebotssumme, der auf die Positionen entfällt, die vom Bieter bzw. den Mitgliedern der Bietergemeinschaft selbst oder durch Unternehmen an denen diese mehrheitlich beteiligt sind ausgeführt werden. Für die Wertung ist dem Angebot eine tabellarische Zusammenstellung der nach diesen Vorgaben in Eigenfertigung angebotenen Leistungen mit Angabe des ausführenden Unternehmens beizufügen (Merheitsbeteiligungen an Unternehmen sind gesondert zu erläutern). Der Auftraggeber hat das Recht, vom Bieter Nachweise zur Mehrheitsbeteiligung anzufordern. Werden die Nachweise auf Anforderung nicht fristgemäß vorgelegt oder sind diese nicht eindeutig, erfolgt keine Anerkennung der Leistung als Eigenleistung.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</si>
</sst>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 #,##0.00\ &quot;€&quot;_-;\-* #,##0.00\ &quot;€&quot;_-;_-* &quot;-&quot;??\ &quot;€&quot;_-;_-@_-"/>
    <numFmt numFmtId="164" formatCode="0.0000"/>
  </numFmts>
  <fonts count="56" x14ac:knownFonts="1">
    <font>
      <sz val="10"/>
      <name val="Arial"/>
    </font>
    <font>
      <sz val="11"/>
      <color theme="1"/>
      <name val="Calibri"/>
      <family val="2"/>
      <scheme val="minor"/>
    </font>
    <font>
      <sz val="11"/>
      <color theme="1"/>
      <name val="Calibri"/>
      <family val="2"/>
      <scheme val="minor"/>
    </font>
    <font>
      <sz val="8"/>
      <name val="Arial"/>
      <family val="2"/>
    </font>
    <font>
      <b/>
      <sz val="12"/>
      <name val="Arial"/>
      <family val="2"/>
    </font>
    <font>
      <b/>
      <sz val="16"/>
      <name val="Arial"/>
      <family val="2"/>
    </font>
    <font>
      <b/>
      <sz val="14"/>
      <name val="DB Office"/>
      <family val="2"/>
    </font>
    <font>
      <b/>
      <sz val="12"/>
      <name val="DB Office"/>
      <family val="2"/>
    </font>
    <font>
      <sz val="10"/>
      <name val="DB Office"/>
      <family val="2"/>
    </font>
    <font>
      <sz val="8"/>
      <name val="DB Office"/>
      <family val="2"/>
    </font>
    <font>
      <b/>
      <sz val="10"/>
      <color indexed="9"/>
      <name val="Arial"/>
      <family val="2"/>
    </font>
    <font>
      <sz val="10"/>
      <color indexed="8"/>
      <name val="Arial"/>
      <family val="2"/>
    </font>
    <font>
      <sz val="11"/>
      <name val="Arial"/>
      <family val="2"/>
    </font>
    <font>
      <i/>
      <sz val="11"/>
      <color indexed="8"/>
      <name val="Helv"/>
    </font>
    <font>
      <i/>
      <sz val="14"/>
      <color indexed="8"/>
      <name val="Helv"/>
    </font>
    <font>
      <sz val="10"/>
      <color indexed="10"/>
      <name val="Arial"/>
      <family val="2"/>
    </font>
    <font>
      <b/>
      <sz val="10"/>
      <color indexed="10"/>
      <name val="Arial"/>
      <family val="2"/>
    </font>
    <font>
      <b/>
      <sz val="12"/>
      <color indexed="10"/>
      <name val="Arial"/>
      <family val="2"/>
    </font>
    <font>
      <b/>
      <sz val="10"/>
      <color indexed="8"/>
      <name val="Arial"/>
      <family val="2"/>
    </font>
    <font>
      <b/>
      <sz val="12"/>
      <color indexed="8"/>
      <name val="Arial"/>
      <family val="2"/>
    </font>
    <font>
      <b/>
      <sz val="12"/>
      <color indexed="12"/>
      <name val="Arial"/>
      <family val="2"/>
    </font>
    <font>
      <sz val="12"/>
      <name val="Arial"/>
      <family val="2"/>
    </font>
    <font>
      <b/>
      <sz val="10"/>
      <color indexed="10"/>
      <name val="DB Office"/>
      <family val="2"/>
    </font>
    <font>
      <sz val="9"/>
      <color indexed="8"/>
      <name val="Arial"/>
      <family val="2"/>
    </font>
    <font>
      <sz val="9"/>
      <name val="Arial"/>
      <family val="2"/>
    </font>
    <font>
      <b/>
      <sz val="10"/>
      <color rgb="FFFF0000"/>
      <name val="Arial"/>
      <family val="2"/>
    </font>
    <font>
      <b/>
      <sz val="10"/>
      <name val="Arial"/>
      <family val="2"/>
    </font>
    <font>
      <b/>
      <sz val="11"/>
      <name val="Arial"/>
      <family val="2"/>
    </font>
    <font>
      <b/>
      <sz val="14"/>
      <color indexed="9"/>
      <name val="Arial"/>
      <family val="2"/>
    </font>
    <font>
      <b/>
      <vertAlign val="superscript"/>
      <sz val="12"/>
      <color indexed="9"/>
      <name val="Arial"/>
      <family val="2"/>
    </font>
    <font>
      <sz val="10"/>
      <name val="Arial"/>
      <family val="2"/>
    </font>
    <font>
      <b/>
      <sz val="10"/>
      <color theme="1" tint="0.34998626667073579"/>
      <name val="Arial"/>
      <family val="2"/>
    </font>
    <font>
      <b/>
      <sz val="12"/>
      <color theme="1" tint="0.34998626667073579"/>
      <name val="Arial"/>
      <family val="2"/>
    </font>
    <font>
      <b/>
      <sz val="36"/>
      <color theme="0" tint="-0.34998626667073579"/>
      <name val="DB Office"/>
      <family val="2"/>
    </font>
    <font>
      <sz val="36"/>
      <color theme="0" tint="-0.34998626667073579"/>
      <name val="DB Office"/>
      <family val="2"/>
    </font>
    <font>
      <sz val="11"/>
      <name val="Wingdings"/>
      <charset val="2"/>
    </font>
    <font>
      <i/>
      <sz val="11"/>
      <name val="Arial"/>
      <family val="2"/>
    </font>
    <font>
      <b/>
      <sz val="11"/>
      <color rgb="FFFF0000"/>
      <name val="Arial"/>
      <family val="2"/>
    </font>
    <font>
      <sz val="11"/>
      <color rgb="FFFF0000"/>
      <name val="Arial"/>
      <family val="2"/>
    </font>
    <font>
      <sz val="10"/>
      <color rgb="FFFF0000"/>
      <name val="Arial"/>
      <family val="2"/>
    </font>
    <font>
      <sz val="11"/>
      <name val="DB Office"/>
      <family val="2"/>
    </font>
    <font>
      <b/>
      <sz val="11"/>
      <name val="DB Office"/>
      <family val="2"/>
    </font>
    <font>
      <b/>
      <vertAlign val="superscript"/>
      <sz val="12"/>
      <color theme="0"/>
      <name val="Arial"/>
      <family val="2"/>
    </font>
    <font>
      <b/>
      <sz val="14"/>
      <color theme="0"/>
      <name val="Arial"/>
      <family val="2"/>
    </font>
    <font>
      <strike/>
      <sz val="10"/>
      <name val="Arial"/>
      <family val="2"/>
    </font>
    <font>
      <sz val="10"/>
      <name val="Arial"/>
      <family val="2"/>
    </font>
    <font>
      <sz val="10"/>
      <name val="Arial"/>
      <family val="2"/>
    </font>
    <font>
      <b/>
      <sz val="10"/>
      <color theme="0"/>
      <name val="Arial"/>
      <family val="2"/>
    </font>
    <font>
      <b/>
      <sz val="11"/>
      <color theme="1"/>
      <name val="Calibri"/>
      <family val="2"/>
      <scheme val="minor"/>
    </font>
    <font>
      <b/>
      <sz val="12"/>
      <color theme="1"/>
      <name val="Calibri"/>
      <family val="2"/>
      <scheme val="minor"/>
    </font>
    <font>
      <b/>
      <sz val="11"/>
      <color theme="1"/>
      <name val="DB Office"/>
      <family val="2"/>
    </font>
    <font>
      <sz val="11"/>
      <color theme="1"/>
      <name val="DB Office"/>
      <family val="2"/>
    </font>
    <font>
      <b/>
      <sz val="11"/>
      <color rgb="FFFF0000"/>
      <name val="Calibri"/>
      <family val="2"/>
      <scheme val="minor"/>
    </font>
    <font>
      <b/>
      <vertAlign val="superscript"/>
      <sz val="14"/>
      <color rgb="FFFFFFFF"/>
      <name val="Arial"/>
      <family val="2"/>
    </font>
    <font>
      <vertAlign val="superscript"/>
      <sz val="10"/>
      <name val="Arial"/>
      <family val="2"/>
    </font>
    <font>
      <b/>
      <sz val="10"/>
      <color rgb="FF0000FF"/>
      <name val="Arial"/>
      <family val="2"/>
    </font>
  </fonts>
  <fills count="9">
    <fill>
      <patternFill patternType="none"/>
    </fill>
    <fill>
      <patternFill patternType="gray125"/>
    </fill>
    <fill>
      <patternFill patternType="solid">
        <fgColor indexed="44"/>
        <bgColor indexed="64"/>
      </patternFill>
    </fill>
    <fill>
      <patternFill patternType="solid">
        <fgColor indexed="47"/>
        <bgColor indexed="64"/>
      </patternFill>
    </fill>
    <fill>
      <patternFill patternType="solid">
        <fgColor indexed="22"/>
        <bgColor indexed="64"/>
      </patternFill>
    </fill>
    <fill>
      <patternFill patternType="solid">
        <fgColor indexed="23"/>
        <bgColor indexed="64"/>
      </patternFill>
    </fill>
    <fill>
      <patternFill patternType="solid">
        <fgColor rgb="FFFFFF00"/>
        <bgColor indexed="64"/>
      </patternFill>
    </fill>
    <fill>
      <patternFill patternType="solid">
        <fgColor theme="0" tint="-0.499984740745262"/>
        <bgColor indexed="64"/>
      </patternFill>
    </fill>
    <fill>
      <patternFill patternType="solid">
        <fgColor theme="6" tint="0.79998168889431442"/>
        <bgColor indexed="64"/>
      </patternFill>
    </fill>
  </fills>
  <borders count="108">
    <border>
      <left/>
      <right/>
      <top/>
      <bottom/>
      <diagonal/>
    </border>
    <border>
      <left style="thin">
        <color indexed="10"/>
      </left>
      <right/>
      <top style="thin">
        <color indexed="10"/>
      </top>
      <bottom style="thin">
        <color indexed="10"/>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right style="thin">
        <color indexed="10"/>
      </right>
      <top style="thin">
        <color indexed="10"/>
      </top>
      <bottom style="thin">
        <color indexed="10"/>
      </bottom>
      <diagonal/>
    </border>
    <border>
      <left style="thin">
        <color indexed="10"/>
      </left>
      <right style="thin">
        <color indexed="10"/>
      </right>
      <top style="thin">
        <color indexed="10"/>
      </top>
      <bottom style="thin">
        <color indexed="10"/>
      </bottom>
      <diagonal/>
    </border>
    <border>
      <left style="thick">
        <color indexed="10"/>
      </left>
      <right/>
      <top style="thick">
        <color indexed="10"/>
      </top>
      <bottom style="thin">
        <color indexed="10"/>
      </bottom>
      <diagonal/>
    </border>
    <border>
      <left style="thin">
        <color indexed="10"/>
      </left>
      <right/>
      <top style="thick">
        <color indexed="10"/>
      </top>
      <bottom style="thin">
        <color indexed="10"/>
      </bottom>
      <diagonal/>
    </border>
    <border>
      <left/>
      <right style="thin">
        <color indexed="10"/>
      </right>
      <top style="thick">
        <color indexed="10"/>
      </top>
      <bottom style="thin">
        <color indexed="10"/>
      </bottom>
      <diagonal/>
    </border>
    <border>
      <left style="thin">
        <color indexed="10"/>
      </left>
      <right style="thin">
        <color indexed="10"/>
      </right>
      <top style="thick">
        <color indexed="10"/>
      </top>
      <bottom style="thin">
        <color indexed="10"/>
      </bottom>
      <diagonal/>
    </border>
    <border>
      <left style="thick">
        <color indexed="10"/>
      </left>
      <right/>
      <top style="thin">
        <color indexed="10"/>
      </top>
      <bottom style="thin">
        <color indexed="10"/>
      </bottom>
      <diagonal/>
    </border>
    <border>
      <left style="thick">
        <color indexed="10"/>
      </left>
      <right/>
      <top/>
      <bottom style="thick">
        <color indexed="10"/>
      </bottom>
      <diagonal/>
    </border>
    <border>
      <left style="thin">
        <color indexed="10"/>
      </left>
      <right/>
      <top/>
      <bottom style="thick">
        <color indexed="10"/>
      </bottom>
      <diagonal/>
    </border>
    <border>
      <left/>
      <right style="thin">
        <color indexed="10"/>
      </right>
      <top/>
      <bottom style="thick">
        <color indexed="10"/>
      </bottom>
      <diagonal/>
    </border>
    <border>
      <left/>
      <right/>
      <top style="thin">
        <color indexed="10"/>
      </top>
      <bottom style="thick">
        <color indexed="10"/>
      </bottom>
      <diagonal/>
    </border>
    <border>
      <left/>
      <right style="thick">
        <color indexed="10"/>
      </right>
      <top style="thin">
        <color indexed="10"/>
      </top>
      <bottom style="thick">
        <color indexed="10"/>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right/>
      <top style="medium">
        <color indexed="64"/>
      </top>
      <bottom/>
      <diagonal/>
    </border>
    <border>
      <left/>
      <right style="medium">
        <color indexed="64"/>
      </right>
      <top/>
      <bottom style="thick">
        <color indexed="64"/>
      </bottom>
      <diagonal/>
    </border>
    <border>
      <left style="medium">
        <color indexed="64"/>
      </left>
      <right/>
      <top style="medium">
        <color indexed="64"/>
      </top>
      <bottom/>
      <diagonal/>
    </border>
    <border>
      <left/>
      <right/>
      <top/>
      <bottom style="medium">
        <color indexed="64"/>
      </bottom>
      <diagonal/>
    </border>
    <border>
      <left style="thick">
        <color indexed="64"/>
      </left>
      <right/>
      <top/>
      <bottom/>
      <diagonal/>
    </border>
    <border>
      <left style="thick">
        <color indexed="64"/>
      </left>
      <right/>
      <top/>
      <bottom style="thick">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hair">
        <color indexed="64"/>
      </right>
      <top style="thin">
        <color indexed="64"/>
      </top>
      <bottom/>
      <diagonal/>
    </border>
    <border>
      <left/>
      <right style="hair">
        <color indexed="64"/>
      </right>
      <top/>
      <bottom/>
      <diagonal/>
    </border>
    <border>
      <left/>
      <right style="hair">
        <color indexed="64"/>
      </right>
      <top/>
      <bottom style="hair">
        <color indexed="64"/>
      </bottom>
      <diagonal/>
    </border>
    <border>
      <left style="hair">
        <color indexed="64"/>
      </left>
      <right style="hair">
        <color indexed="64"/>
      </right>
      <top/>
      <bottom/>
      <diagonal/>
    </border>
    <border>
      <left style="hair">
        <color indexed="64"/>
      </left>
      <right/>
      <top/>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top/>
      <bottom style="hair">
        <color indexed="64"/>
      </bottom>
      <diagonal/>
    </border>
    <border>
      <left/>
      <right style="thin">
        <color indexed="64"/>
      </right>
      <top/>
      <bottom/>
      <diagonal/>
    </border>
    <border>
      <left/>
      <right style="thin">
        <color indexed="64"/>
      </right>
      <top style="hair">
        <color indexed="64"/>
      </top>
      <bottom style="thin">
        <color indexed="64"/>
      </bottom>
      <diagonal/>
    </border>
    <border>
      <left style="thin">
        <color indexed="64"/>
      </left>
      <right/>
      <top/>
      <bottom/>
      <diagonal/>
    </border>
    <border>
      <left/>
      <right/>
      <top style="hair">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ck">
        <color indexed="64"/>
      </left>
      <right/>
      <top style="thick">
        <color indexed="64"/>
      </top>
      <bottom/>
      <diagonal/>
    </border>
    <border>
      <left style="thin">
        <color indexed="10"/>
      </left>
      <right style="thin">
        <color indexed="10"/>
      </right>
      <top/>
      <bottom style="thick">
        <color indexed="10"/>
      </bottom>
      <diagonal/>
    </border>
    <border>
      <left/>
      <right/>
      <top style="thick">
        <color indexed="64"/>
      </top>
      <bottom/>
      <diagonal/>
    </border>
    <border>
      <left/>
      <right style="thick">
        <color indexed="64"/>
      </right>
      <top style="thick">
        <color indexed="64"/>
      </top>
      <bottom/>
      <diagonal/>
    </border>
    <border>
      <left/>
      <right style="thick">
        <color indexed="64"/>
      </right>
      <top/>
      <bottom style="medium">
        <color indexed="64"/>
      </bottom>
      <diagonal/>
    </border>
    <border>
      <left style="hair">
        <color indexed="64"/>
      </left>
      <right/>
      <top style="thin">
        <color indexed="64"/>
      </top>
      <bottom/>
      <diagonal/>
    </border>
    <border>
      <left/>
      <right style="thin">
        <color indexed="64"/>
      </right>
      <top style="thin">
        <color indexed="64"/>
      </top>
      <bottom/>
      <diagonal/>
    </border>
    <border>
      <left/>
      <right style="thin">
        <color indexed="64"/>
      </right>
      <top/>
      <bottom style="hair">
        <color indexed="64"/>
      </bottom>
      <diagonal/>
    </border>
    <border>
      <left/>
      <right/>
      <top style="thin">
        <color indexed="64"/>
      </top>
      <bottom/>
      <diagonal/>
    </border>
    <border>
      <left/>
      <right style="hair">
        <color indexed="64"/>
      </right>
      <top style="thin">
        <color indexed="64"/>
      </top>
      <bottom/>
      <diagonal/>
    </border>
    <border>
      <left style="thin">
        <color indexed="64"/>
      </left>
      <right/>
      <top/>
      <bottom style="hair">
        <color indexed="64"/>
      </bottom>
      <diagonal/>
    </border>
    <border>
      <left style="thin">
        <color indexed="64"/>
      </left>
      <right/>
      <top style="hair">
        <color indexed="64"/>
      </top>
      <bottom style="thin">
        <color indexed="64"/>
      </bottom>
      <diagonal/>
    </border>
    <border>
      <left style="thin">
        <color indexed="64"/>
      </left>
      <right/>
      <top style="hair">
        <color indexed="64"/>
      </top>
      <bottom style="hair">
        <color indexed="64"/>
      </bottom>
      <diagonal/>
    </border>
    <border>
      <left style="thin">
        <color indexed="64"/>
      </left>
      <right/>
      <top style="thin">
        <color indexed="64"/>
      </top>
      <bottom/>
      <diagonal/>
    </border>
    <border>
      <left/>
      <right/>
      <top style="thick">
        <color indexed="10"/>
      </top>
      <bottom style="thin">
        <color indexed="10"/>
      </bottom>
      <diagonal/>
    </border>
    <border>
      <left/>
      <right/>
      <top style="thin">
        <color indexed="10"/>
      </top>
      <bottom style="thin">
        <color indexed="10"/>
      </bottom>
      <diagonal/>
    </border>
    <border>
      <left/>
      <right/>
      <top/>
      <bottom style="thick">
        <color indexed="10"/>
      </bottom>
      <diagonal/>
    </border>
    <border>
      <left/>
      <right/>
      <top/>
      <bottom style="thick">
        <color indexed="64"/>
      </bottom>
      <diagonal/>
    </border>
    <border>
      <left/>
      <right style="thick">
        <color indexed="10"/>
      </right>
      <top style="thick">
        <color indexed="10"/>
      </top>
      <bottom style="thin">
        <color indexed="10"/>
      </bottom>
      <diagonal/>
    </border>
    <border>
      <left/>
      <right style="thick">
        <color indexed="10"/>
      </right>
      <top style="thin">
        <color indexed="10"/>
      </top>
      <bottom style="thin">
        <color indexed="10"/>
      </bottom>
      <diagonal/>
    </border>
    <border>
      <left/>
      <right style="thick">
        <color indexed="64"/>
      </right>
      <top style="medium">
        <color indexed="64"/>
      </top>
      <bottom/>
      <diagonal/>
    </border>
    <border>
      <left/>
      <right style="thick">
        <color indexed="64"/>
      </right>
      <top/>
      <bottom/>
      <diagonal/>
    </border>
    <border>
      <left/>
      <right style="thick">
        <color indexed="64"/>
      </right>
      <top/>
      <bottom style="thick">
        <color indexed="64"/>
      </bottom>
      <diagonal/>
    </border>
    <border>
      <left style="medium">
        <color indexed="64"/>
      </left>
      <right/>
      <top style="thick">
        <color indexed="64"/>
      </top>
      <bottom/>
      <diagonal/>
    </border>
    <border>
      <left style="medium">
        <color indexed="64"/>
      </left>
      <right style="medium">
        <color indexed="64"/>
      </right>
      <top/>
      <bottom style="thick">
        <color indexed="64"/>
      </bottom>
      <diagonal/>
    </border>
    <border>
      <left style="medium">
        <color indexed="64"/>
      </left>
      <right/>
      <top/>
      <bottom style="thick">
        <color indexed="64"/>
      </bottom>
      <diagonal/>
    </border>
    <border>
      <left/>
      <right/>
      <top style="thick">
        <color indexed="10"/>
      </top>
      <bottom/>
      <diagonal/>
    </border>
    <border>
      <left style="thick">
        <color indexed="10"/>
      </left>
      <right/>
      <top style="thick">
        <color indexed="1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10"/>
      </left>
      <right/>
      <top/>
      <bottom/>
      <diagonal/>
    </border>
    <border>
      <left style="thin">
        <color indexed="10"/>
      </left>
      <right/>
      <top/>
      <bottom style="thin">
        <color indexed="10"/>
      </bottom>
      <diagonal/>
    </border>
    <border>
      <left/>
      <right/>
      <top/>
      <bottom style="thin">
        <color indexed="10"/>
      </bottom>
      <diagonal/>
    </border>
    <border>
      <left/>
      <right style="thin">
        <color indexed="10"/>
      </right>
      <top style="thick">
        <color indexed="10"/>
      </top>
      <bottom/>
      <diagonal/>
    </border>
    <border>
      <left style="thin">
        <color indexed="10"/>
      </left>
      <right style="thin">
        <color indexed="10"/>
      </right>
      <top style="thick">
        <color indexed="10"/>
      </top>
      <bottom/>
      <diagonal/>
    </border>
    <border>
      <left style="thin">
        <color indexed="10"/>
      </left>
      <right/>
      <top style="thick">
        <color indexed="10"/>
      </top>
      <bottom/>
      <diagonal/>
    </border>
    <border>
      <left style="medium">
        <color auto="1"/>
      </left>
      <right style="thin">
        <color indexed="10"/>
      </right>
      <top style="medium">
        <color auto="1"/>
      </top>
      <bottom style="thin">
        <color indexed="10"/>
      </bottom>
      <diagonal/>
    </border>
    <border>
      <left style="thin">
        <color indexed="10"/>
      </left>
      <right style="thin">
        <color indexed="10"/>
      </right>
      <top style="medium">
        <color auto="1"/>
      </top>
      <bottom style="thin">
        <color indexed="10"/>
      </bottom>
      <diagonal/>
    </border>
    <border>
      <left/>
      <right/>
      <top style="medium">
        <color auto="1"/>
      </top>
      <bottom style="thin">
        <color indexed="10"/>
      </bottom>
      <diagonal/>
    </border>
    <border>
      <left/>
      <right style="medium">
        <color auto="1"/>
      </right>
      <top style="medium">
        <color auto="1"/>
      </top>
      <bottom style="thick">
        <color indexed="10"/>
      </bottom>
      <diagonal/>
    </border>
    <border>
      <left style="medium">
        <color auto="1"/>
      </left>
      <right style="thin">
        <color indexed="10"/>
      </right>
      <top/>
      <bottom style="thick">
        <color indexed="10"/>
      </bottom>
      <diagonal/>
    </border>
    <border>
      <left/>
      <right style="medium">
        <color auto="1"/>
      </right>
      <top style="thick">
        <color indexed="10"/>
      </top>
      <bottom/>
      <diagonal/>
    </border>
    <border>
      <left/>
      <right/>
      <top style="medium">
        <color auto="1"/>
      </top>
      <bottom style="thick">
        <color indexed="10"/>
      </bottom>
      <diagonal/>
    </border>
    <border>
      <left/>
      <right style="thin">
        <color rgb="FFFF0000"/>
      </right>
      <top style="medium">
        <color auto="1"/>
      </top>
      <bottom style="thin">
        <color indexed="10"/>
      </bottom>
      <diagonal/>
    </border>
    <border>
      <left/>
      <right style="thin">
        <color rgb="FFFF0000"/>
      </right>
      <top style="medium">
        <color auto="1"/>
      </top>
      <bottom style="thick">
        <color indexed="10"/>
      </bottom>
      <diagonal/>
    </border>
    <border>
      <left/>
      <right/>
      <top/>
      <bottom style="thin">
        <color indexed="64"/>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s>
  <cellStyleXfs count="5">
    <xf numFmtId="0" fontId="0" fillId="0" borderId="0"/>
    <xf numFmtId="0" fontId="30" fillId="0" borderId="0"/>
    <xf numFmtId="9" fontId="45" fillId="0" borderId="0" applyFont="0" applyFill="0" applyBorder="0" applyAlignment="0" applyProtection="0"/>
    <xf numFmtId="44" fontId="46" fillId="0" borderId="0" applyFont="0" applyFill="0" applyBorder="0" applyAlignment="0" applyProtection="0"/>
    <xf numFmtId="0" fontId="2" fillId="0" borderId="0"/>
  </cellStyleXfs>
  <cellXfs count="283">
    <xf numFmtId="0" fontId="0" fillId="0" borderId="0" xfId="0"/>
    <xf numFmtId="0" fontId="12" fillId="0" borderId="0" xfId="0" applyFont="1" applyAlignment="1">
      <alignment vertical="top" wrapText="1"/>
    </xf>
    <xf numFmtId="0" fontId="13" fillId="0" borderId="0" xfId="0" applyFont="1" applyAlignment="1">
      <alignment horizontal="left" wrapText="1" indent="2"/>
    </xf>
    <xf numFmtId="0" fontId="14" fillId="0" borderId="0" xfId="0" applyFont="1" applyAlignment="1">
      <alignment wrapText="1"/>
    </xf>
    <xf numFmtId="0" fontId="0" fillId="2" borderId="1" xfId="0" applyFill="1" applyBorder="1"/>
    <xf numFmtId="0" fontId="16" fillId="0" borderId="0" xfId="0" applyFont="1" applyAlignment="1">
      <alignment horizontal="left" vertical="center" wrapText="1"/>
    </xf>
    <xf numFmtId="0" fontId="15" fillId="0" borderId="0" xfId="0" applyFont="1" applyAlignment="1">
      <alignment horizontal="center"/>
    </xf>
    <xf numFmtId="0" fontId="17" fillId="2" borderId="9" xfId="0" applyFont="1" applyFill="1" applyBorder="1" applyAlignment="1" applyProtection="1">
      <alignment horizontal="center" vertical="center"/>
      <protection locked="0"/>
    </xf>
    <xf numFmtId="0" fontId="18" fillId="2" borderId="11" xfId="0" applyFont="1" applyFill="1" applyBorder="1" applyAlignment="1">
      <alignment horizontal="left" vertical="center" wrapText="1"/>
    </xf>
    <xf numFmtId="0" fontId="0" fillId="2" borderId="12" xfId="0" applyFill="1" applyBorder="1"/>
    <xf numFmtId="0" fontId="17" fillId="2" borderId="13" xfId="0" applyFont="1" applyFill="1" applyBorder="1" applyAlignment="1">
      <alignment horizontal="center" vertical="center"/>
    </xf>
    <xf numFmtId="0" fontId="18" fillId="2" borderId="15" xfId="0" applyFont="1" applyFill="1" applyBorder="1" applyAlignment="1">
      <alignment horizontal="left" vertical="center" wrapText="1"/>
    </xf>
    <xf numFmtId="0" fontId="18" fillId="3" borderId="16" xfId="0" applyFont="1" applyFill="1" applyBorder="1" applyAlignment="1">
      <alignment horizontal="left" vertical="center" wrapText="1"/>
    </xf>
    <xf numFmtId="0" fontId="0" fillId="3" borderId="17" xfId="0" applyFill="1" applyBorder="1"/>
    <xf numFmtId="0" fontId="17" fillId="3" borderId="20" xfId="0" applyFont="1" applyFill="1" applyBorder="1" applyAlignment="1">
      <alignment horizontal="center" vertical="center"/>
    </xf>
    <xf numFmtId="0" fontId="11" fillId="0" borderId="0" xfId="0" quotePrefix="1" applyFont="1" applyAlignment="1">
      <alignment vertical="top" wrapText="1"/>
    </xf>
    <xf numFmtId="0" fontId="11" fillId="0" borderId="29" xfId="0" quotePrefix="1" applyFont="1" applyBorder="1" applyAlignment="1">
      <alignment vertical="top" wrapText="1"/>
    </xf>
    <xf numFmtId="0" fontId="0" fillId="2" borderId="63" xfId="0" applyFill="1" applyBorder="1"/>
    <xf numFmtId="0" fontId="0" fillId="2" borderId="64" xfId="0" applyFill="1" applyBorder="1"/>
    <xf numFmtId="0" fontId="0" fillId="3" borderId="65" xfId="0" applyFill="1" applyBorder="1"/>
    <xf numFmtId="0" fontId="11" fillId="0" borderId="26" xfId="0" quotePrefix="1" applyFont="1" applyBorder="1" applyAlignment="1">
      <alignment horizontal="left" vertical="top" wrapText="1"/>
    </xf>
    <xf numFmtId="0" fontId="11" fillId="0" borderId="0" xfId="0" quotePrefix="1" applyFont="1" applyAlignment="1">
      <alignment horizontal="left" vertical="top" wrapText="1"/>
    </xf>
    <xf numFmtId="0" fontId="11" fillId="0" borderId="0" xfId="0" applyFont="1"/>
    <xf numFmtId="0" fontId="19" fillId="3" borderId="19" xfId="0" applyFont="1" applyFill="1" applyBorder="1" applyAlignment="1">
      <alignment horizontal="left" vertical="center" indent="5"/>
    </xf>
    <xf numFmtId="0" fontId="17" fillId="2" borderId="67" xfId="0" applyFont="1" applyFill="1" applyBorder="1" applyAlignment="1">
      <alignment horizontal="center" vertical="center"/>
    </xf>
    <xf numFmtId="0" fontId="17" fillId="2" borderId="68" xfId="0" applyFont="1" applyFill="1" applyBorder="1" applyAlignment="1" applyProtection="1">
      <alignment horizontal="center" vertical="center"/>
      <protection locked="0"/>
    </xf>
    <xf numFmtId="0" fontId="23" fillId="0" borderId="21" xfId="0" quotePrefix="1" applyFont="1" applyBorder="1" applyAlignment="1" applyProtection="1">
      <alignment horizontal="left" vertical="top" wrapText="1"/>
      <protection locked="0"/>
    </xf>
    <xf numFmtId="0" fontId="23" fillId="0" borderId="26" xfId="0" quotePrefix="1" applyFont="1" applyBorder="1" applyAlignment="1">
      <alignment horizontal="left" vertical="top" wrapText="1"/>
    </xf>
    <xf numFmtId="0" fontId="23" fillId="0" borderId="22" xfId="0" quotePrefix="1" applyFont="1" applyBorder="1" applyAlignment="1" applyProtection="1">
      <alignment horizontal="left" vertical="top" wrapText="1"/>
      <protection locked="0"/>
    </xf>
    <xf numFmtId="0" fontId="23" fillId="0" borderId="0" xfId="0" quotePrefix="1" applyFont="1" applyAlignment="1">
      <alignment horizontal="left" vertical="top" wrapText="1"/>
    </xf>
    <xf numFmtId="0" fontId="23" fillId="0" borderId="24" xfId="0" quotePrefix="1" applyFont="1" applyBorder="1" applyAlignment="1">
      <alignment horizontal="left" vertical="top" wrapText="1"/>
    </xf>
    <xf numFmtId="0" fontId="23" fillId="0" borderId="23" xfId="0" quotePrefix="1" applyFont="1" applyBorder="1" applyAlignment="1" applyProtection="1">
      <alignment horizontal="left" vertical="top" wrapText="1"/>
      <protection locked="0"/>
    </xf>
    <xf numFmtId="0" fontId="23" fillId="0" borderId="29" xfId="0" quotePrefix="1" applyFont="1" applyBorder="1" applyAlignment="1">
      <alignment horizontal="left" vertical="top" wrapText="1"/>
    </xf>
    <xf numFmtId="0" fontId="23" fillId="0" borderId="22" xfId="0" applyFont="1" applyBorder="1" applyAlignment="1" applyProtection="1">
      <alignment horizontal="left" vertical="top" wrapText="1"/>
      <protection locked="0"/>
    </xf>
    <xf numFmtId="0" fontId="23" fillId="0" borderId="0" xfId="0" applyFont="1" applyAlignment="1">
      <alignment horizontal="left" vertical="top" wrapText="1"/>
    </xf>
    <xf numFmtId="0" fontId="23" fillId="0" borderId="27" xfId="0" quotePrefix="1" applyFont="1" applyBorder="1" applyAlignment="1" applyProtection="1">
      <alignment horizontal="left" vertical="top" wrapText="1"/>
      <protection locked="0"/>
    </xf>
    <xf numFmtId="0" fontId="23" fillId="0" borderId="70" xfId="0" quotePrefix="1" applyFont="1" applyBorder="1" applyAlignment="1" applyProtection="1">
      <alignment horizontal="left" vertical="top" wrapText="1"/>
      <protection locked="0"/>
    </xf>
    <xf numFmtId="0" fontId="23" fillId="0" borderId="27" xfId="0" applyFont="1" applyBorder="1" applyAlignment="1" applyProtection="1">
      <alignment horizontal="left" vertical="top" wrapText="1"/>
      <protection locked="0"/>
    </xf>
    <xf numFmtId="0" fontId="23" fillId="0" borderId="71" xfId="0" quotePrefix="1" applyFont="1" applyBorder="1" applyAlignment="1" applyProtection="1">
      <alignment horizontal="left" vertical="top" wrapText="1"/>
      <protection locked="0"/>
    </xf>
    <xf numFmtId="0" fontId="23" fillId="0" borderId="69" xfId="0" quotePrefix="1" applyFont="1" applyBorder="1" applyAlignment="1" applyProtection="1">
      <alignment horizontal="left" vertical="top" wrapText="1"/>
      <protection locked="0"/>
    </xf>
    <xf numFmtId="0" fontId="23" fillId="0" borderId="66" xfId="0" quotePrefix="1" applyFont="1" applyBorder="1" applyAlignment="1">
      <alignment horizontal="left" vertical="top" wrapText="1"/>
    </xf>
    <xf numFmtId="0" fontId="5" fillId="5" borderId="25" xfId="0" applyFont="1" applyFill="1" applyBorder="1" applyAlignment="1">
      <alignment horizontal="center" vertical="center"/>
    </xf>
    <xf numFmtId="0" fontId="5" fillId="5" borderId="28" xfId="0" applyFont="1" applyFill="1" applyBorder="1" applyAlignment="1">
      <alignment horizontal="center" vertical="center"/>
    </xf>
    <xf numFmtId="0" fontId="5" fillId="5" borderId="29" xfId="0" applyFont="1" applyFill="1" applyBorder="1" applyAlignment="1">
      <alignment horizontal="center" vertical="center"/>
    </xf>
    <xf numFmtId="0" fontId="5" fillId="5" borderId="26" xfId="0" applyFont="1" applyFill="1" applyBorder="1" applyAlignment="1">
      <alignment horizontal="center" vertical="center"/>
    </xf>
    <xf numFmtId="0" fontId="5" fillId="5" borderId="25" xfId="0" applyFont="1" applyFill="1" applyBorder="1" applyAlignment="1">
      <alignment horizontal="center" vertical="top"/>
    </xf>
    <xf numFmtId="0" fontId="28" fillId="5" borderId="21" xfId="0" applyFont="1" applyFill="1" applyBorder="1" applyAlignment="1">
      <alignment horizontal="center" vertical="center"/>
    </xf>
    <xf numFmtId="0" fontId="29" fillId="5" borderId="29" xfId="0" applyFont="1" applyFill="1" applyBorder="1" applyAlignment="1">
      <alignment horizontal="center" vertical="top"/>
    </xf>
    <xf numFmtId="0" fontId="24" fillId="0" borderId="0" xfId="0" applyFont="1" applyAlignment="1">
      <alignment horizontal="left" vertical="top"/>
    </xf>
    <xf numFmtId="0" fontId="23" fillId="0" borderId="74" xfId="0" quotePrefix="1" applyFont="1" applyBorder="1" applyAlignment="1">
      <alignment horizontal="left" vertical="top" wrapText="1"/>
    </xf>
    <xf numFmtId="0" fontId="30" fillId="0" borderId="0" xfId="1" applyAlignment="1">
      <alignment vertical="center"/>
    </xf>
    <xf numFmtId="0" fontId="12" fillId="0" borderId="0" xfId="1" applyFont="1"/>
    <xf numFmtId="0" fontId="30" fillId="0" borderId="0" xfId="1"/>
    <xf numFmtId="0" fontId="29" fillId="5" borderId="23" xfId="0" applyFont="1" applyFill="1" applyBorder="1" applyAlignment="1">
      <alignment horizontal="center" vertical="top"/>
    </xf>
    <xf numFmtId="0" fontId="32" fillId="3" borderId="18" xfId="0" applyFont="1" applyFill="1" applyBorder="1" applyAlignment="1" applyProtection="1">
      <alignment horizontal="center" vertical="center"/>
      <protection locked="0"/>
    </xf>
    <xf numFmtId="1" fontId="30" fillId="0" borderId="0" xfId="1" applyNumberFormat="1"/>
    <xf numFmtId="0" fontId="8" fillId="0" borderId="0" xfId="1" applyFont="1"/>
    <xf numFmtId="0" fontId="6" fillId="0" borderId="0" xfId="1" applyFont="1" applyAlignment="1">
      <alignment horizontal="left"/>
    </xf>
    <xf numFmtId="0" fontId="7" fillId="0" borderId="0" xfId="1" applyFont="1" applyAlignment="1">
      <alignment horizontal="left"/>
    </xf>
    <xf numFmtId="0" fontId="33" fillId="0" borderId="0" xfId="1" applyFont="1" applyAlignment="1">
      <alignment horizontal="left"/>
    </xf>
    <xf numFmtId="0" fontId="34" fillId="0" borderId="0" xfId="1" applyFont="1"/>
    <xf numFmtId="0" fontId="33" fillId="0" borderId="0" xfId="1" applyFont="1"/>
    <xf numFmtId="1" fontId="33" fillId="0" borderId="0" xfId="1" applyNumberFormat="1" applyFont="1"/>
    <xf numFmtId="9" fontId="10" fillId="5" borderId="39" xfId="1" applyNumberFormat="1" applyFont="1" applyFill="1" applyBorder="1" applyAlignment="1">
      <alignment horizontal="center" vertical="top" wrapText="1"/>
    </xf>
    <xf numFmtId="9" fontId="10" fillId="5" borderId="41" xfId="1" applyNumberFormat="1" applyFont="1" applyFill="1" applyBorder="1" applyAlignment="1">
      <alignment horizontal="center" vertical="top" wrapText="1"/>
    </xf>
    <xf numFmtId="1" fontId="10" fillId="5" borderId="41" xfId="1" applyNumberFormat="1" applyFont="1" applyFill="1" applyBorder="1" applyAlignment="1">
      <alignment horizontal="center" vertical="top" wrapText="1"/>
    </xf>
    <xf numFmtId="0" fontId="9" fillId="0" borderId="45" xfId="1" applyFont="1" applyBorder="1"/>
    <xf numFmtId="0" fontId="30" fillId="0" borderId="45" xfId="1" applyBorder="1"/>
    <xf numFmtId="0" fontId="12" fillId="0" borderId="0" xfId="1" applyFont="1" applyAlignment="1">
      <alignment vertical="top"/>
    </xf>
    <xf numFmtId="0" fontId="30" fillId="0" borderId="0" xfId="1" applyAlignment="1">
      <alignment vertical="top"/>
    </xf>
    <xf numFmtId="0" fontId="21" fillId="0" borderId="0" xfId="1" applyFont="1" applyAlignment="1">
      <alignment vertical="top"/>
    </xf>
    <xf numFmtId="0" fontId="35" fillId="0" borderId="0" xfId="1" applyFont="1" applyAlignment="1">
      <alignment vertical="top"/>
    </xf>
    <xf numFmtId="0" fontId="36" fillId="0" borderId="0" xfId="1" applyFont="1" applyAlignment="1">
      <alignment vertical="top"/>
    </xf>
    <xf numFmtId="0" fontId="37" fillId="0" borderId="0" xfId="1" applyFont="1" applyAlignment="1">
      <alignment vertical="top"/>
    </xf>
    <xf numFmtId="0" fontId="19" fillId="3" borderId="19" xfId="0" applyFont="1" applyFill="1" applyBorder="1" applyAlignment="1">
      <alignment horizontal="right" vertical="center" indent="5"/>
    </xf>
    <xf numFmtId="0" fontId="32" fillId="3" borderId="20" xfId="0" applyFont="1" applyFill="1" applyBorder="1" applyAlignment="1" applyProtection="1">
      <alignment horizontal="center" vertical="center"/>
      <protection locked="0"/>
    </xf>
    <xf numFmtId="0" fontId="19" fillId="0" borderId="75" xfId="0" applyFont="1" applyBorder="1" applyAlignment="1">
      <alignment horizontal="left" vertical="center" indent="5"/>
    </xf>
    <xf numFmtId="0" fontId="0" fillId="0" borderId="76" xfId="0" applyBorder="1"/>
    <xf numFmtId="0" fontId="4" fillId="0" borderId="0" xfId="1" applyFont="1" applyAlignment="1">
      <alignment vertical="top"/>
    </xf>
    <xf numFmtId="0" fontId="24" fillId="0" borderId="22" xfId="0" applyFont="1" applyBorder="1" applyAlignment="1" applyProtection="1">
      <alignment horizontal="left" vertical="top" wrapText="1"/>
      <protection locked="0"/>
    </xf>
    <xf numFmtId="0" fontId="39" fillId="0" borderId="0" xfId="0" applyFont="1"/>
    <xf numFmtId="0" fontId="27" fillId="4" borderId="47" xfId="0" applyFont="1" applyFill="1" applyBorder="1" applyAlignment="1">
      <alignment vertical="center" textRotation="90" wrapText="1"/>
    </xf>
    <xf numFmtId="0" fontId="27" fillId="4" borderId="48" xfId="0" applyFont="1" applyFill="1" applyBorder="1" applyAlignment="1">
      <alignment vertical="center" textRotation="90" wrapText="1"/>
    </xf>
    <xf numFmtId="0" fontId="27" fillId="4" borderId="46" xfId="0" applyFont="1" applyFill="1" applyBorder="1" applyAlignment="1">
      <alignment vertical="center" textRotation="90" wrapText="1"/>
    </xf>
    <xf numFmtId="0" fontId="27" fillId="0" borderId="0" xfId="1" applyFont="1" applyAlignment="1">
      <alignment vertical="top"/>
    </xf>
    <xf numFmtId="0" fontId="40" fillId="0" borderId="0" xfId="0" applyFont="1" applyAlignment="1">
      <alignment vertical="top" wrapText="1"/>
    </xf>
    <xf numFmtId="0" fontId="30" fillId="0" borderId="26" xfId="0" quotePrefix="1" applyFont="1" applyBorder="1" applyAlignment="1">
      <alignment horizontal="left" vertical="top" wrapText="1"/>
    </xf>
    <xf numFmtId="0" fontId="30" fillId="0" borderId="0" xfId="0" quotePrefix="1" applyFont="1" applyAlignment="1">
      <alignment horizontal="left" vertical="top" wrapText="1"/>
    </xf>
    <xf numFmtId="0" fontId="30" fillId="0" borderId="0" xfId="0" quotePrefix="1" applyFont="1" applyAlignment="1">
      <alignment vertical="top" wrapText="1"/>
    </xf>
    <xf numFmtId="0" fontId="30" fillId="0" borderId="0" xfId="0" applyFont="1"/>
    <xf numFmtId="0" fontId="30" fillId="0" borderId="29" xfId="0" quotePrefix="1" applyFont="1" applyBorder="1" applyAlignment="1">
      <alignment vertical="top" wrapText="1"/>
    </xf>
    <xf numFmtId="0" fontId="24" fillId="0" borderId="23" xfId="0" quotePrefix="1" applyFont="1" applyBorder="1" applyAlignment="1" applyProtection="1">
      <alignment horizontal="left" vertical="top" wrapText="1"/>
      <protection locked="0"/>
    </xf>
    <xf numFmtId="1" fontId="30" fillId="0" borderId="32" xfId="1" applyNumberFormat="1" applyBorder="1" applyAlignment="1">
      <alignment horizontal="center" vertical="center"/>
    </xf>
    <xf numFmtId="1" fontId="30" fillId="0" borderId="33" xfId="1" applyNumberFormat="1" applyBorder="1" applyAlignment="1">
      <alignment horizontal="center" vertical="center"/>
    </xf>
    <xf numFmtId="0" fontId="24" fillId="0" borderId="22" xfId="0" quotePrefix="1" applyFont="1" applyBorder="1" applyAlignment="1" applyProtection="1">
      <alignment horizontal="left" vertical="top" wrapText="1"/>
      <protection locked="0"/>
    </xf>
    <xf numFmtId="0" fontId="24" fillId="0" borderId="26" xfId="0" quotePrefix="1" applyFont="1" applyBorder="1" applyAlignment="1">
      <alignment horizontal="left" vertical="top" wrapText="1"/>
    </xf>
    <xf numFmtId="0" fontId="24" fillId="0" borderId="0" xfId="0" quotePrefix="1" applyFont="1" applyAlignment="1">
      <alignment horizontal="left" vertical="top" wrapText="1"/>
    </xf>
    <xf numFmtId="0" fontId="24" fillId="0" borderId="24" xfId="0" quotePrefix="1" applyFont="1" applyBorder="1" applyAlignment="1">
      <alignment horizontal="left" vertical="top" wrapText="1"/>
    </xf>
    <xf numFmtId="0" fontId="24" fillId="0" borderId="0" xfId="0" applyFont="1" applyAlignment="1">
      <alignment horizontal="left" vertical="top" wrapText="1"/>
    </xf>
    <xf numFmtId="0" fontId="24" fillId="0" borderId="29" xfId="0" quotePrefix="1" applyFont="1" applyBorder="1" applyAlignment="1">
      <alignment horizontal="left" vertical="top" wrapText="1"/>
    </xf>
    <xf numFmtId="0" fontId="24" fillId="0" borderId="25" xfId="0" quotePrefix="1" applyFont="1" applyBorder="1" applyAlignment="1">
      <alignment horizontal="left" vertical="top" wrapText="1"/>
    </xf>
    <xf numFmtId="0" fontId="24" fillId="0" borderId="23" xfId="0" applyFont="1" applyBorder="1" applyAlignment="1" applyProtection="1">
      <alignment horizontal="left" vertical="top" wrapText="1"/>
      <protection locked="0"/>
    </xf>
    <xf numFmtId="0" fontId="28" fillId="5" borderId="21" xfId="0" applyFont="1" applyFill="1" applyBorder="1" applyAlignment="1">
      <alignment horizontal="center" vertical="center" wrapText="1"/>
    </xf>
    <xf numFmtId="0" fontId="43" fillId="5" borderId="21" xfId="0" applyFont="1" applyFill="1" applyBorder="1" applyAlignment="1">
      <alignment horizontal="center" vertical="center" wrapText="1"/>
    </xf>
    <xf numFmtId="0" fontId="24" fillId="0" borderId="0" xfId="0" quotePrefix="1" applyFont="1" applyAlignment="1" applyProtection="1">
      <alignment horizontal="left" vertical="top" wrapText="1"/>
      <protection locked="0"/>
    </xf>
    <xf numFmtId="0" fontId="30" fillId="0" borderId="21" xfId="0" quotePrefix="1" applyFont="1" applyBorder="1" applyAlignment="1" applyProtection="1">
      <alignment horizontal="left" vertical="top" wrapText="1"/>
      <protection locked="0"/>
    </xf>
    <xf numFmtId="0" fontId="30" fillId="0" borderId="24" xfId="0" quotePrefix="1" applyFont="1" applyBorder="1" applyAlignment="1">
      <alignment horizontal="left" vertical="top" wrapText="1"/>
    </xf>
    <xf numFmtId="0" fontId="44" fillId="0" borderId="22" xfId="0" quotePrefix="1" applyFont="1" applyBorder="1" applyAlignment="1" applyProtection="1">
      <alignment horizontal="left" vertical="top" wrapText="1"/>
      <protection locked="0"/>
    </xf>
    <xf numFmtId="0" fontId="30" fillId="0" borderId="22" xfId="0" quotePrefix="1" applyFont="1" applyBorder="1" applyAlignment="1" applyProtection="1">
      <alignment horizontal="left" vertical="top" wrapText="1"/>
      <protection locked="0"/>
    </xf>
    <xf numFmtId="0" fontId="0" fillId="0" borderId="44" xfId="0" applyBorder="1"/>
    <xf numFmtId="0" fontId="30" fillId="0" borderId="0" xfId="0" quotePrefix="1" applyFont="1" applyAlignment="1" applyProtection="1">
      <alignment horizontal="left" vertical="top" wrapText="1"/>
      <protection locked="0"/>
    </xf>
    <xf numFmtId="0" fontId="42" fillId="5" borderId="23" xfId="0" applyFont="1" applyFill="1" applyBorder="1" applyAlignment="1">
      <alignment horizontal="center" vertical="top"/>
    </xf>
    <xf numFmtId="0" fontId="10" fillId="5" borderId="29" xfId="0" applyFont="1" applyFill="1" applyBorder="1" applyAlignment="1">
      <alignment horizontal="center" vertical="top" wrapText="1"/>
    </xf>
    <xf numFmtId="0" fontId="0" fillId="0" borderId="80" xfId="0" applyBorder="1"/>
    <xf numFmtId="0" fontId="3" fillId="0" borderId="81" xfId="0" applyFont="1" applyBorder="1"/>
    <xf numFmtId="0" fontId="0" fillId="0" borderId="82" xfId="0" applyBorder="1"/>
    <xf numFmtId="0" fontId="0" fillId="2" borderId="75" xfId="0" applyFill="1" applyBorder="1"/>
    <xf numFmtId="0" fontId="17" fillId="2" borderId="83" xfId="0" applyFont="1" applyFill="1" applyBorder="1" applyAlignment="1">
      <alignment horizontal="center" vertical="center"/>
    </xf>
    <xf numFmtId="0" fontId="0" fillId="2" borderId="85" xfId="0" applyFill="1" applyBorder="1"/>
    <xf numFmtId="0" fontId="0" fillId="2" borderId="88" xfId="0" applyFill="1" applyBorder="1"/>
    <xf numFmtId="0" fontId="17" fillId="2" borderId="89" xfId="0" applyFont="1" applyFill="1" applyBorder="1" applyAlignment="1" applyProtection="1">
      <alignment horizontal="center" vertical="center"/>
      <protection locked="0"/>
    </xf>
    <xf numFmtId="0" fontId="16" fillId="0" borderId="24" xfId="0" applyFont="1" applyBorder="1" applyAlignment="1">
      <alignment horizontal="left" vertical="center" wrapText="1"/>
    </xf>
    <xf numFmtId="0" fontId="15" fillId="0" borderId="23" xfId="0" applyFont="1" applyBorder="1" applyAlignment="1">
      <alignment horizontal="center"/>
    </xf>
    <xf numFmtId="0" fontId="0" fillId="2" borderId="92" xfId="0" applyFill="1" applyBorder="1"/>
    <xf numFmtId="0" fontId="17" fillId="0" borderId="91" xfId="0" applyFont="1" applyBorder="1" applyAlignment="1">
      <alignment horizontal="center" vertical="center"/>
    </xf>
    <xf numFmtId="0" fontId="17" fillId="2" borderId="93" xfId="0" applyFont="1" applyFill="1" applyBorder="1" applyAlignment="1" applyProtection="1">
      <alignment horizontal="center" vertical="center"/>
      <protection locked="0"/>
    </xf>
    <xf numFmtId="0" fontId="17" fillId="2" borderId="94" xfId="0" applyFont="1" applyFill="1" applyBorder="1" applyAlignment="1" applyProtection="1">
      <alignment horizontal="center" vertical="center"/>
      <protection locked="0"/>
    </xf>
    <xf numFmtId="0" fontId="10" fillId="5" borderId="23" xfId="0" applyFont="1" applyFill="1" applyBorder="1" applyAlignment="1">
      <alignment horizontal="center" vertical="top" wrapText="1"/>
    </xf>
    <xf numFmtId="0" fontId="11" fillId="0" borderId="21" xfId="1" quotePrefix="1" applyFont="1" applyBorder="1" applyAlignment="1" applyProtection="1">
      <alignment horizontal="left" vertical="top" wrapText="1"/>
      <protection locked="0"/>
    </xf>
    <xf numFmtId="0" fontId="11" fillId="0" borderId="22" xfId="1" quotePrefix="1" applyFont="1" applyBorder="1" applyAlignment="1" applyProtection="1">
      <alignment horizontal="left" vertical="top" wrapText="1"/>
      <protection locked="0"/>
    </xf>
    <xf numFmtId="0" fontId="0" fillId="0" borderId="0" xfId="0" quotePrefix="1" applyAlignment="1">
      <alignment horizontal="center" vertical="top" wrapText="1"/>
    </xf>
    <xf numFmtId="1" fontId="30" fillId="6" borderId="3" xfId="1" applyNumberFormat="1" applyFill="1" applyBorder="1" applyAlignment="1">
      <alignment horizontal="center" vertical="center"/>
    </xf>
    <xf numFmtId="2" fontId="30" fillId="6" borderId="3" xfId="1" applyNumberFormat="1" applyFill="1" applyBorder="1" applyAlignment="1">
      <alignment horizontal="center" vertical="center"/>
    </xf>
    <xf numFmtId="1" fontId="30" fillId="6" borderId="7" xfId="1" applyNumberFormat="1" applyFill="1" applyBorder="1" applyAlignment="1">
      <alignment horizontal="center" vertical="center"/>
    </xf>
    <xf numFmtId="2" fontId="30" fillId="6" borderId="7" xfId="1" applyNumberFormat="1" applyFill="1" applyBorder="1" applyAlignment="1">
      <alignment horizontal="center" vertical="center"/>
    </xf>
    <xf numFmtId="1" fontId="30" fillId="6" borderId="6" xfId="1" applyNumberFormat="1" applyFill="1" applyBorder="1" applyAlignment="1">
      <alignment horizontal="center" vertical="center"/>
    </xf>
    <xf numFmtId="1" fontId="30" fillId="0" borderId="99" xfId="1" applyNumberFormat="1" applyBorder="1" applyAlignment="1">
      <alignment horizontal="center" vertical="center"/>
    </xf>
    <xf numFmtId="1" fontId="30" fillId="0" borderId="100" xfId="1" applyNumberFormat="1" applyBorder="1" applyAlignment="1">
      <alignment horizontal="center" vertical="center"/>
    </xf>
    <xf numFmtId="44" fontId="30" fillId="0" borderId="32" xfId="3" applyFont="1" applyBorder="1" applyAlignment="1" applyProtection="1">
      <alignment horizontal="center" vertical="center"/>
    </xf>
    <xf numFmtId="44" fontId="30" fillId="0" borderId="33" xfId="3" applyFont="1" applyBorder="1" applyAlignment="1" applyProtection="1">
      <alignment horizontal="center" vertical="center"/>
    </xf>
    <xf numFmtId="2" fontId="30" fillId="0" borderId="0" xfId="1" applyNumberFormat="1"/>
    <xf numFmtId="1" fontId="30" fillId="0" borderId="0" xfId="1" applyNumberFormat="1" applyAlignment="1">
      <alignment vertical="center"/>
    </xf>
    <xf numFmtId="0" fontId="10" fillId="5" borderId="42" xfId="1" applyFont="1" applyFill="1" applyBorder="1" applyAlignment="1">
      <alignment horizontal="center" vertical="top" wrapText="1"/>
    </xf>
    <xf numFmtId="0" fontId="10" fillId="5" borderId="0" xfId="1" applyFont="1" applyFill="1" applyAlignment="1">
      <alignment horizontal="center" vertical="top" wrapText="1"/>
    </xf>
    <xf numFmtId="0" fontId="30" fillId="0" borderId="57" xfId="1" applyBorder="1" applyAlignment="1">
      <alignment vertical="center"/>
    </xf>
    <xf numFmtId="3" fontId="30" fillId="0" borderId="0" xfId="1" applyNumberFormat="1" applyAlignment="1">
      <alignment horizontal="center" vertical="center"/>
    </xf>
    <xf numFmtId="164" fontId="30" fillId="0" borderId="0" xfId="0" applyNumberFormat="1" applyFont="1"/>
    <xf numFmtId="1" fontId="26" fillId="0" borderId="0" xfId="1" applyNumberFormat="1" applyFont="1" applyAlignment="1">
      <alignment horizontal="center" vertical="center"/>
    </xf>
    <xf numFmtId="0" fontId="25" fillId="0" borderId="0" xfId="1" applyFont="1" applyAlignment="1">
      <alignment horizontal="right" vertical="center"/>
    </xf>
    <xf numFmtId="0" fontId="30" fillId="0" borderId="95" xfId="1" applyBorder="1"/>
    <xf numFmtId="0" fontId="10" fillId="5" borderId="103" xfId="1" applyFont="1" applyFill="1" applyBorder="1" applyAlignment="1">
      <alignment horizontal="center" vertical="top" wrapText="1"/>
    </xf>
    <xf numFmtId="0" fontId="10" fillId="5" borderId="104" xfId="1" applyFont="1" applyFill="1" applyBorder="1" applyAlignment="1">
      <alignment vertical="top" wrapText="1"/>
    </xf>
    <xf numFmtId="44" fontId="30" fillId="0" borderId="105" xfId="3" applyFont="1" applyBorder="1" applyAlignment="1" applyProtection="1">
      <alignment vertical="center"/>
    </xf>
    <xf numFmtId="1" fontId="30" fillId="6" borderId="3" xfId="1" applyNumberFormat="1" applyFill="1" applyBorder="1" applyAlignment="1">
      <alignment horizontal="left" vertical="center"/>
    </xf>
    <xf numFmtId="1" fontId="30" fillId="0" borderId="0" xfId="1" applyNumberFormat="1" applyAlignment="1">
      <alignment horizontal="right" vertical="center"/>
    </xf>
    <xf numFmtId="1" fontId="30" fillId="6" borderId="7" xfId="1" applyNumberFormat="1" applyFill="1" applyBorder="1" applyAlignment="1">
      <alignment horizontal="left" vertical="center"/>
    </xf>
    <xf numFmtId="1" fontId="30" fillId="0" borderId="2" xfId="1" applyNumberFormat="1" applyBorder="1" applyAlignment="1">
      <alignment vertical="center"/>
    </xf>
    <xf numFmtId="9" fontId="30" fillId="0" borderId="4" xfId="2" quotePrefix="1" applyFont="1" applyFill="1" applyBorder="1" applyAlignment="1" applyProtection="1">
      <alignment horizontal="center" vertical="center"/>
    </xf>
    <xf numFmtId="1" fontId="30" fillId="0" borderId="6" xfId="1" applyNumberFormat="1" applyBorder="1" applyAlignment="1">
      <alignment vertical="center"/>
    </xf>
    <xf numFmtId="9" fontId="30" fillId="0" borderId="8" xfId="2" quotePrefix="1" applyFont="1" applyFill="1" applyBorder="1" applyAlignment="1" applyProtection="1">
      <alignment horizontal="center" vertical="center"/>
    </xf>
    <xf numFmtId="2" fontId="30" fillId="6" borderId="4" xfId="1" applyNumberFormat="1" applyFill="1" applyBorder="1" applyAlignment="1">
      <alignment horizontal="center" vertical="center"/>
    </xf>
    <xf numFmtId="2" fontId="30" fillId="6" borderId="8" xfId="1" applyNumberFormat="1" applyFill="1" applyBorder="1" applyAlignment="1">
      <alignment horizontal="center" vertical="center"/>
    </xf>
    <xf numFmtId="0" fontId="2" fillId="0" borderId="0" xfId="4"/>
    <xf numFmtId="0" fontId="2" fillId="0" borderId="106" xfId="4" applyBorder="1" applyAlignment="1">
      <alignment horizontal="center"/>
    </xf>
    <xf numFmtId="0" fontId="2" fillId="0" borderId="106" xfId="4" applyBorder="1"/>
    <xf numFmtId="0" fontId="2" fillId="0" borderId="106" xfId="4" applyBorder="1" applyAlignment="1">
      <alignment horizontal="left"/>
    </xf>
    <xf numFmtId="0" fontId="48" fillId="0" borderId="0" xfId="4" applyFont="1"/>
    <xf numFmtId="0" fontId="48" fillId="0" borderId="106" xfId="4" applyFont="1" applyBorder="1"/>
    <xf numFmtId="0" fontId="48" fillId="0" borderId="106" xfId="4" applyFont="1" applyBorder="1" applyAlignment="1">
      <alignment horizontal="left"/>
    </xf>
    <xf numFmtId="0" fontId="48" fillId="0" borderId="106" xfId="4" applyFont="1" applyBorder="1" applyAlignment="1">
      <alignment horizontal="left" wrapText="1"/>
    </xf>
    <xf numFmtId="0" fontId="48" fillId="0" borderId="106" xfId="4" applyFont="1" applyBorder="1" applyAlignment="1">
      <alignment wrapText="1"/>
    </xf>
    <xf numFmtId="1" fontId="2" fillId="0" borderId="0" xfId="4" applyNumberFormat="1"/>
    <xf numFmtId="0" fontId="2" fillId="0" borderId="0" xfId="4" applyAlignment="1">
      <alignment horizontal="center"/>
    </xf>
    <xf numFmtId="0" fontId="2" fillId="0" borderId="107" xfId="4" applyBorder="1"/>
    <xf numFmtId="0" fontId="2" fillId="0" borderId="107" xfId="4" applyBorder="1" applyAlignment="1">
      <alignment horizontal="left"/>
    </xf>
    <xf numFmtId="0" fontId="2" fillId="0" borderId="107" xfId="4" applyBorder="1" applyAlignment="1">
      <alignment horizontal="center"/>
    </xf>
    <xf numFmtId="0" fontId="2" fillId="0" borderId="0" xfId="4" applyAlignment="1">
      <alignment horizontal="left" wrapText="1"/>
    </xf>
    <xf numFmtId="1" fontId="2" fillId="0" borderId="106" xfId="4" applyNumberFormat="1" applyBorder="1"/>
    <xf numFmtId="0" fontId="48" fillId="0" borderId="105" xfId="4" applyFont="1" applyBorder="1"/>
    <xf numFmtId="0" fontId="48" fillId="0" borderId="105" xfId="4" applyFont="1" applyBorder="1" applyAlignment="1">
      <alignment horizontal="center"/>
    </xf>
    <xf numFmtId="0" fontId="48" fillId="0" borderId="105" xfId="4" applyFont="1" applyBorder="1" applyAlignment="1">
      <alignment horizontal="left"/>
    </xf>
    <xf numFmtId="0" fontId="48" fillId="7" borderId="105" xfId="4" applyFont="1" applyFill="1" applyBorder="1"/>
    <xf numFmtId="0" fontId="2" fillId="0" borderId="0" xfId="4" applyAlignment="1">
      <alignment horizontal="left"/>
    </xf>
    <xf numFmtId="0" fontId="49" fillId="0" borderId="0" xfId="4" applyFont="1"/>
    <xf numFmtId="0" fontId="49" fillId="0" borderId="0" xfId="4" applyFont="1" applyAlignment="1">
      <alignment horizontal="center"/>
    </xf>
    <xf numFmtId="0" fontId="49" fillId="6" borderId="105" xfId="4" applyFont="1" applyFill="1" applyBorder="1" applyAlignment="1">
      <alignment horizontal="left"/>
    </xf>
    <xf numFmtId="0" fontId="49" fillId="0" borderId="105" xfId="4" applyFont="1" applyBorder="1" applyAlignment="1">
      <alignment horizontal="center"/>
    </xf>
    <xf numFmtId="0" fontId="49" fillId="7" borderId="105" xfId="4" applyFont="1" applyFill="1" applyBorder="1" applyAlignment="1">
      <alignment horizontal="center"/>
    </xf>
    <xf numFmtId="0" fontId="49" fillId="6" borderId="105" xfId="4" applyFont="1" applyFill="1" applyBorder="1" applyAlignment="1">
      <alignment horizontal="center"/>
    </xf>
    <xf numFmtId="0" fontId="50" fillId="0" borderId="0" xfId="4" applyFont="1"/>
    <xf numFmtId="0" fontId="51" fillId="0" borderId="0" xfId="4" applyFont="1"/>
    <xf numFmtId="0" fontId="2" fillId="6" borderId="106" xfId="4" applyFill="1" applyBorder="1"/>
    <xf numFmtId="0" fontId="2" fillId="6" borderId="107" xfId="4" applyFill="1" applyBorder="1"/>
    <xf numFmtId="0" fontId="52" fillId="0" borderId="0" xfId="4" applyFont="1"/>
    <xf numFmtId="0" fontId="0" fillId="0" borderId="0" xfId="0" applyAlignment="1">
      <alignment vertical="center"/>
    </xf>
    <xf numFmtId="0" fontId="0" fillId="0" borderId="80" xfId="0" applyBorder="1" applyAlignment="1">
      <alignment vertical="center"/>
    </xf>
    <xf numFmtId="0" fontId="36" fillId="0" borderId="0" xfId="1" applyFont="1" applyAlignment="1">
      <alignment horizontal="left" vertical="top"/>
    </xf>
    <xf numFmtId="0" fontId="12" fillId="0" borderId="0" xfId="1" applyFont="1" applyAlignment="1">
      <alignment horizontal="left" vertical="top"/>
    </xf>
    <xf numFmtId="0" fontId="10" fillId="5" borderId="37" xfId="1" applyFont="1" applyFill="1" applyBorder="1" applyAlignment="1">
      <alignment horizontal="center" vertical="top" wrapText="1"/>
    </xf>
    <xf numFmtId="0" fontId="10" fillId="5" borderId="44" xfId="1" applyFont="1" applyFill="1" applyBorder="1" applyAlignment="1">
      <alignment horizontal="center" vertical="top" wrapText="1"/>
    </xf>
    <xf numFmtId="0" fontId="48" fillId="0" borderId="106" xfId="4" applyFont="1" applyBorder="1" applyAlignment="1">
      <alignment horizontal="center"/>
    </xf>
    <xf numFmtId="0" fontId="48" fillId="8" borderId="0" xfId="0" applyFont="1" applyFill="1"/>
    <xf numFmtId="0" fontId="1" fillId="0" borderId="0" xfId="4" applyFont="1"/>
    <xf numFmtId="0" fontId="48" fillId="0" borderId="106" xfId="4" applyFont="1" applyBorder="1" applyAlignment="1">
      <alignment horizontal="center"/>
    </xf>
    <xf numFmtId="0" fontId="1" fillId="0" borderId="106" xfId="4" applyFont="1" applyBorder="1" applyAlignment="1">
      <alignment horizontal="left"/>
    </xf>
    <xf numFmtId="0" fontId="1" fillId="0" borderId="107" xfId="4" applyFont="1" applyBorder="1" applyAlignment="1">
      <alignment horizontal="left"/>
    </xf>
    <xf numFmtId="0" fontId="36" fillId="0" borderId="0" xfId="1" applyFont="1" applyAlignment="1">
      <alignment horizontal="left" vertical="top"/>
    </xf>
    <xf numFmtId="0" fontId="12" fillId="0" borderId="0" xfId="1" applyFont="1" applyAlignment="1">
      <alignment horizontal="left" vertical="top" wrapText="1"/>
    </xf>
    <xf numFmtId="0" fontId="12" fillId="0" borderId="0" xfId="1" applyFont="1" applyAlignment="1">
      <alignment horizontal="left" vertical="top"/>
    </xf>
    <xf numFmtId="0" fontId="4" fillId="0" borderId="0" xfId="1" applyFont="1" applyAlignment="1">
      <alignment horizontal="left" vertical="top"/>
    </xf>
    <xf numFmtId="0" fontId="40" fillId="0" borderId="0" xfId="0" applyFont="1" applyAlignment="1">
      <alignment horizontal="left" vertical="top" wrapText="1"/>
    </xf>
    <xf numFmtId="0" fontId="27" fillId="0" borderId="2" xfId="1" applyFont="1" applyBorder="1" applyAlignment="1">
      <alignment horizontal="left" vertical="top" wrapText="1"/>
    </xf>
    <xf numFmtId="0" fontId="27" fillId="0" borderId="3" xfId="1" applyFont="1" applyBorder="1" applyAlignment="1">
      <alignment horizontal="left" vertical="top" wrapText="1"/>
    </xf>
    <xf numFmtId="0" fontId="27" fillId="0" borderId="4" xfId="1" applyFont="1" applyBorder="1" applyAlignment="1">
      <alignment horizontal="left" vertical="top" wrapText="1"/>
    </xf>
    <xf numFmtId="0" fontId="16" fillId="2" borderId="83" xfId="0" applyFont="1" applyFill="1" applyBorder="1" applyAlignment="1">
      <alignment horizontal="left" vertical="center" wrapText="1"/>
    </xf>
    <xf numFmtId="0" fontId="16" fillId="2" borderId="84" xfId="0" applyFont="1" applyFill="1" applyBorder="1" applyAlignment="1">
      <alignment horizontal="left" vertical="center" wrapText="1"/>
    </xf>
    <xf numFmtId="0" fontId="31" fillId="3" borderId="90" xfId="0" applyFont="1" applyFill="1" applyBorder="1" applyAlignment="1">
      <alignment horizontal="left" vertical="center" wrapText="1"/>
    </xf>
    <xf numFmtId="0" fontId="31" fillId="3" borderId="50" xfId="0" applyFont="1" applyFill="1" applyBorder="1" applyAlignment="1">
      <alignment horizontal="left" vertical="center" wrapText="1"/>
    </xf>
    <xf numFmtId="0" fontId="4" fillId="4" borderId="26" xfId="0" applyFont="1" applyFill="1" applyBorder="1" applyAlignment="1">
      <alignment horizontal="center"/>
    </xf>
    <xf numFmtId="0" fontId="26" fillId="4" borderId="29" xfId="0" quotePrefix="1" applyFont="1" applyFill="1" applyBorder="1" applyAlignment="1">
      <alignment horizontal="center" vertical="top"/>
    </xf>
    <xf numFmtId="0" fontId="4" fillId="4" borderId="21" xfId="0" applyFont="1" applyFill="1" applyBorder="1" applyAlignment="1">
      <alignment horizontal="center"/>
    </xf>
    <xf numFmtId="0" fontId="16" fillId="2" borderId="86" xfId="0" applyFont="1" applyFill="1" applyBorder="1" applyAlignment="1">
      <alignment horizontal="left" vertical="center" wrapText="1"/>
    </xf>
    <xf numFmtId="0" fontId="16" fillId="2" borderId="87" xfId="0" applyFont="1" applyFill="1" applyBorder="1" applyAlignment="1">
      <alignment horizontal="left" vertical="center" wrapText="1"/>
    </xf>
    <xf numFmtId="0" fontId="30" fillId="0" borderId="0" xfId="0" applyFont="1" applyAlignment="1">
      <alignment horizontal="left" wrapText="1"/>
    </xf>
    <xf numFmtId="0" fontId="4" fillId="4" borderId="77" xfId="0" applyFont="1" applyFill="1" applyBorder="1" applyAlignment="1">
      <alignment horizontal="center"/>
    </xf>
    <xf numFmtId="0" fontId="4" fillId="4" borderId="78" xfId="0" applyFont="1" applyFill="1" applyBorder="1" applyAlignment="1">
      <alignment horizontal="center"/>
    </xf>
    <xf numFmtId="0" fontId="4" fillId="4" borderId="79" xfId="0" applyFont="1" applyFill="1" applyBorder="1" applyAlignment="1">
      <alignment horizontal="center"/>
    </xf>
    <xf numFmtId="0" fontId="26" fillId="4" borderId="23" xfId="0" quotePrefix="1" applyFont="1" applyFill="1" applyBorder="1" applyAlignment="1">
      <alignment horizontal="center" vertical="top"/>
    </xf>
    <xf numFmtId="0" fontId="4" fillId="4" borderId="28" xfId="0" applyFont="1" applyFill="1" applyBorder="1" applyAlignment="1">
      <alignment horizontal="center"/>
    </xf>
    <xf numFmtId="0" fontId="26" fillId="4" borderId="25" xfId="0" quotePrefix="1" applyFont="1" applyFill="1" applyBorder="1" applyAlignment="1">
      <alignment horizontal="center" vertical="top"/>
    </xf>
    <xf numFmtId="0" fontId="10" fillId="5" borderId="101" xfId="1" applyFont="1" applyFill="1" applyBorder="1" applyAlignment="1">
      <alignment horizontal="center" vertical="top" wrapText="1"/>
    </xf>
    <xf numFmtId="0" fontId="10" fillId="5" borderId="102" xfId="1" applyFont="1" applyFill="1" applyBorder="1" applyAlignment="1">
      <alignment horizontal="center" vertical="top" wrapText="1"/>
    </xf>
    <xf numFmtId="0" fontId="10" fillId="5" borderId="54" xfId="1" applyFont="1" applyFill="1" applyBorder="1" applyAlignment="1">
      <alignment horizontal="center" vertical="top" wrapText="1"/>
    </xf>
    <xf numFmtId="0" fontId="10" fillId="5" borderId="57" xfId="1" applyFont="1" applyFill="1" applyBorder="1" applyAlignment="1">
      <alignment horizontal="center" vertical="top" wrapText="1"/>
    </xf>
    <xf numFmtId="0" fontId="10" fillId="5" borderId="58" xfId="1" applyFont="1" applyFill="1" applyBorder="1" applyAlignment="1">
      <alignment horizontal="center" vertical="top" wrapText="1"/>
    </xf>
    <xf numFmtId="0" fontId="10" fillId="5" borderId="59" xfId="1" applyFont="1" applyFill="1" applyBorder="1" applyAlignment="1">
      <alignment horizontal="left" vertical="top" wrapText="1"/>
    </xf>
    <xf numFmtId="0" fontId="10" fillId="5" borderId="56" xfId="1" applyFont="1" applyFill="1" applyBorder="1" applyAlignment="1">
      <alignment horizontal="left" vertical="top" wrapText="1"/>
    </xf>
    <xf numFmtId="9" fontId="10" fillId="5" borderId="59" xfId="2" applyFont="1" applyFill="1" applyBorder="1" applyAlignment="1" applyProtection="1">
      <alignment horizontal="center" vertical="top" wrapText="1"/>
    </xf>
    <xf numFmtId="9" fontId="10" fillId="5" borderId="36" xfId="2" applyFont="1" applyFill="1" applyBorder="1" applyAlignment="1" applyProtection="1">
      <alignment horizontal="center" vertical="top" wrapText="1"/>
    </xf>
    <xf numFmtId="0" fontId="10" fillId="5" borderId="62" xfId="1" applyFont="1" applyFill="1" applyBorder="1" applyAlignment="1">
      <alignment horizontal="right" vertical="top" wrapText="1"/>
    </xf>
    <xf numFmtId="0" fontId="10" fillId="5" borderId="55" xfId="1" applyFont="1" applyFill="1" applyBorder="1" applyAlignment="1">
      <alignment horizontal="right" vertical="top" wrapText="1"/>
    </xf>
    <xf numFmtId="0" fontId="10" fillId="5" borderId="62" xfId="1" applyFont="1" applyFill="1" applyBorder="1" applyAlignment="1">
      <alignment horizontal="center" vertical="top" wrapText="1"/>
    </xf>
    <xf numFmtId="0" fontId="10" fillId="5" borderId="44" xfId="1" applyFont="1" applyFill="1" applyBorder="1" applyAlignment="1">
      <alignment horizontal="center" vertical="top" wrapText="1"/>
    </xf>
    <xf numFmtId="0" fontId="10" fillId="5" borderId="35" xfId="1" applyFont="1" applyFill="1" applyBorder="1" applyAlignment="1">
      <alignment horizontal="center" vertical="top" wrapText="1"/>
    </xf>
    <xf numFmtId="0" fontId="22" fillId="0" borderId="0" xfId="1" applyFont="1" applyAlignment="1">
      <alignment horizontal="left" vertical="top" wrapText="1"/>
    </xf>
    <xf numFmtId="0" fontId="18" fillId="0" borderId="61" xfId="1" applyFont="1" applyBorder="1" applyAlignment="1">
      <alignment horizontal="left" vertical="center"/>
    </xf>
    <xf numFmtId="0" fontId="18" fillId="0" borderId="5" xfId="1" applyFont="1" applyBorder="1" applyAlignment="1">
      <alignment horizontal="left" vertical="center"/>
    </xf>
    <xf numFmtId="3" fontId="30" fillId="0" borderId="61" xfId="1" applyNumberFormat="1" applyBorder="1" applyAlignment="1" applyProtection="1">
      <alignment horizontal="right" vertical="center" indent="1"/>
      <protection locked="0"/>
    </xf>
    <xf numFmtId="3" fontId="30" fillId="0" borderId="4" xfId="1" applyNumberFormat="1" applyBorder="1" applyAlignment="1" applyProtection="1">
      <alignment horizontal="right" vertical="center" indent="1"/>
      <protection locked="0"/>
    </xf>
    <xf numFmtId="3" fontId="30" fillId="0" borderId="60" xfId="1" applyNumberFormat="1" applyBorder="1" applyAlignment="1" applyProtection="1">
      <alignment horizontal="right" vertical="center" indent="1"/>
      <protection locked="0"/>
    </xf>
    <xf numFmtId="3" fontId="30" fillId="0" borderId="8" xfId="1" applyNumberFormat="1" applyBorder="1" applyAlignment="1" applyProtection="1">
      <alignment horizontal="right" vertical="center" indent="1"/>
      <protection locked="0"/>
    </xf>
    <xf numFmtId="0" fontId="18" fillId="0" borderId="60" xfId="1" applyFont="1" applyBorder="1" applyAlignment="1">
      <alignment horizontal="left" vertical="center"/>
    </xf>
    <xf numFmtId="0" fontId="18" fillId="0" borderId="43" xfId="1" applyFont="1" applyBorder="1" applyAlignment="1">
      <alignment horizontal="left" vertical="center"/>
    </xf>
    <xf numFmtId="0" fontId="10" fillId="5" borderId="38" xfId="1" applyFont="1" applyFill="1" applyBorder="1" applyAlignment="1">
      <alignment horizontal="center" vertical="top" wrapText="1"/>
    </xf>
    <xf numFmtId="0" fontId="10" fillId="5" borderId="40" xfId="1" applyFont="1" applyFill="1" applyBorder="1" applyAlignment="1">
      <alignment horizontal="center" vertical="top" wrapText="1"/>
    </xf>
    <xf numFmtId="0" fontId="10" fillId="5" borderId="36" xfId="1" applyFont="1" applyFill="1" applyBorder="1" applyAlignment="1">
      <alignment horizontal="center" vertical="top" wrapText="1"/>
    </xf>
    <xf numFmtId="0" fontId="10" fillId="5" borderId="34" xfId="1" applyFont="1" applyFill="1" applyBorder="1" applyAlignment="1">
      <alignment horizontal="center" vertical="top" wrapText="1"/>
    </xf>
    <xf numFmtId="0" fontId="10" fillId="5" borderId="37" xfId="1" applyFont="1" applyFill="1" applyBorder="1" applyAlignment="1">
      <alignment horizontal="center" vertical="top" wrapText="1"/>
    </xf>
    <xf numFmtId="0" fontId="10" fillId="5" borderId="39" xfId="1" applyFont="1" applyFill="1" applyBorder="1" applyAlignment="1">
      <alignment horizontal="center" vertical="top" wrapText="1"/>
    </xf>
    <xf numFmtId="0" fontId="10" fillId="5" borderId="96" xfId="1" applyFont="1" applyFill="1" applyBorder="1" applyAlignment="1">
      <alignment horizontal="center" vertical="top" wrapText="1"/>
    </xf>
    <xf numFmtId="0" fontId="10" fillId="5" borderId="97" xfId="1" applyFont="1" applyFill="1" applyBorder="1" applyAlignment="1">
      <alignment horizontal="center" vertical="top" wrapText="1"/>
    </xf>
    <xf numFmtId="0" fontId="10" fillId="5" borderId="98" xfId="1" applyFont="1" applyFill="1" applyBorder="1" applyAlignment="1">
      <alignment horizontal="center" vertical="top" wrapText="1"/>
    </xf>
    <xf numFmtId="0" fontId="48" fillId="0" borderId="101" xfId="4" applyFont="1" applyBorder="1" applyAlignment="1">
      <alignment horizontal="center"/>
    </xf>
    <xf numFmtId="0" fontId="48" fillId="0" borderId="102" xfId="4" applyFont="1" applyBorder="1" applyAlignment="1">
      <alignment horizontal="center"/>
    </xf>
    <xf numFmtId="0" fontId="48" fillId="0" borderId="106" xfId="4" applyFont="1" applyBorder="1" applyAlignment="1">
      <alignment horizontal="center"/>
    </xf>
    <xf numFmtId="0" fontId="16" fillId="2" borderId="13" xfId="0" applyFont="1" applyFill="1" applyBorder="1" applyAlignment="1">
      <alignment horizontal="left" vertical="center" wrapText="1"/>
    </xf>
    <xf numFmtId="0" fontId="16" fillId="2" borderId="14" xfId="0" applyFont="1" applyFill="1" applyBorder="1" applyAlignment="1">
      <alignment horizontal="left" vertical="center" wrapText="1"/>
    </xf>
    <xf numFmtId="0" fontId="16" fillId="2" borderId="9" xfId="0" applyFont="1" applyFill="1" applyBorder="1" applyAlignment="1">
      <alignment horizontal="left" vertical="center" wrapText="1"/>
    </xf>
    <xf numFmtId="0" fontId="16" fillId="2" borderId="10" xfId="0" applyFont="1" applyFill="1" applyBorder="1" applyAlignment="1">
      <alignment horizontal="left" vertical="center" wrapText="1"/>
    </xf>
    <xf numFmtId="0" fontId="31" fillId="3" borderId="18" xfId="0" applyFont="1" applyFill="1" applyBorder="1" applyAlignment="1">
      <alignment horizontal="left" vertical="center" wrapText="1"/>
    </xf>
    <xf numFmtId="0" fontId="27" fillId="4" borderId="46" xfId="0" applyFont="1" applyFill="1" applyBorder="1" applyAlignment="1">
      <alignment horizontal="center" vertical="center" textRotation="90" wrapText="1"/>
    </xf>
    <xf numFmtId="0" fontId="27" fillId="4" borderId="47" xfId="0" applyFont="1" applyFill="1" applyBorder="1" applyAlignment="1">
      <alignment horizontal="center" vertical="center" textRotation="90" wrapText="1"/>
    </xf>
    <xf numFmtId="0" fontId="27" fillId="4" borderId="73" xfId="0" applyFont="1" applyFill="1" applyBorder="1" applyAlignment="1">
      <alignment horizontal="center" vertical="center" textRotation="90" wrapText="1"/>
    </xf>
    <xf numFmtId="0" fontId="24" fillId="0" borderId="0" xfId="0" applyFont="1" applyAlignment="1">
      <alignment horizontal="left" vertical="top" wrapText="1"/>
    </xf>
    <xf numFmtId="0" fontId="23" fillId="0" borderId="0" xfId="0" applyFont="1" applyAlignment="1">
      <alignment horizontal="left" vertical="top" wrapText="1"/>
    </xf>
    <xf numFmtId="0" fontId="27" fillId="4" borderId="49" xfId="0" applyFont="1" applyFill="1" applyBorder="1" applyAlignment="1">
      <alignment horizontal="center" vertical="center" textRotation="90" wrapText="1"/>
    </xf>
    <xf numFmtId="0" fontId="27" fillId="4" borderId="30" xfId="0" applyFont="1" applyFill="1" applyBorder="1" applyAlignment="1">
      <alignment horizontal="center" vertical="center" textRotation="90" wrapText="1"/>
    </xf>
    <xf numFmtId="0" fontId="27" fillId="4" borderId="31" xfId="0" applyFont="1" applyFill="1" applyBorder="1" applyAlignment="1">
      <alignment horizontal="center" vertical="center" textRotation="90" wrapText="1"/>
    </xf>
    <xf numFmtId="0" fontId="4" fillId="4" borderId="72" xfId="0" applyFont="1" applyFill="1" applyBorder="1" applyAlignment="1">
      <alignment horizontal="center"/>
    </xf>
    <xf numFmtId="0" fontId="4" fillId="4" borderId="51" xfId="0" applyFont="1" applyFill="1" applyBorder="1" applyAlignment="1">
      <alignment horizontal="center"/>
    </xf>
    <xf numFmtId="0" fontId="4" fillId="4" borderId="52" xfId="0" applyFont="1" applyFill="1" applyBorder="1" applyAlignment="1">
      <alignment horizontal="center"/>
    </xf>
    <xf numFmtId="0" fontId="26" fillId="4" borderId="53" xfId="0" quotePrefix="1" applyFont="1" applyFill="1" applyBorder="1" applyAlignment="1">
      <alignment horizontal="center" vertical="top"/>
    </xf>
    <xf numFmtId="0" fontId="27" fillId="4" borderId="48" xfId="0" applyFont="1" applyFill="1" applyBorder="1" applyAlignment="1">
      <alignment horizontal="center" vertical="center" textRotation="90" wrapText="1"/>
    </xf>
  </cellXfs>
  <cellStyles count="5">
    <cellStyle name="Prozent" xfId="2" builtinId="5"/>
    <cellStyle name="Standard" xfId="0" builtinId="0"/>
    <cellStyle name="Standard 2" xfId="1" xr:uid="{00000000-0005-0000-0000-000001000000}"/>
    <cellStyle name="Standard 3" xfId="4" xr:uid="{52B55DD1-A09B-4058-8280-820B01AB41FC}"/>
    <cellStyle name="Währung" xfId="3" builtinId="4"/>
  </cellStyles>
  <dxfs count="1">
    <dxf>
      <fill>
        <patternFill>
          <bgColor indexed="22"/>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s://einkaufswiki.intranet.deutschebahn.com/confluence/display/EinkaufsWiki1/Wertungsmatrix" TargetMode="External"/></Relationships>
</file>

<file path=xl/drawings/drawing1.xml><?xml version="1.0" encoding="utf-8"?>
<xdr:wsDr xmlns:xdr="http://schemas.openxmlformats.org/drawingml/2006/spreadsheetDrawing" xmlns:a="http://schemas.openxmlformats.org/drawingml/2006/main">
  <xdr:twoCellAnchor>
    <xdr:from>
      <xdr:col>0</xdr:col>
      <xdr:colOff>200025</xdr:colOff>
      <xdr:row>1</xdr:row>
      <xdr:rowOff>133352</xdr:rowOff>
    </xdr:from>
    <xdr:to>
      <xdr:col>13</xdr:col>
      <xdr:colOff>485775</xdr:colOff>
      <xdr:row>35</xdr:row>
      <xdr:rowOff>38100</xdr:rowOff>
    </xdr:to>
    <xdr:sp macro="" textlink="">
      <xdr:nvSpPr>
        <xdr:cNvPr id="2" name="AutoShape 1">
          <a:extLst>
            <a:ext uri="{FF2B5EF4-FFF2-40B4-BE49-F238E27FC236}">
              <a16:creationId xmlns:a16="http://schemas.microsoft.com/office/drawing/2014/main" id="{00000000-0008-0000-0000-000002000000}"/>
            </a:ext>
          </a:extLst>
        </xdr:cNvPr>
        <xdr:cNvSpPr>
          <a:spLocks noChangeArrowheads="1"/>
        </xdr:cNvSpPr>
      </xdr:nvSpPr>
      <xdr:spPr bwMode="auto">
        <a:xfrm>
          <a:off x="200025" y="295277"/>
          <a:ext cx="8620125" cy="6553198"/>
        </a:xfrm>
        <a:prstGeom prst="roundRect">
          <a:avLst>
            <a:gd name="adj" fmla="val 16667"/>
          </a:avLst>
        </a:prstGeom>
        <a:noFill/>
        <a:ln w="317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10</xdr:col>
      <xdr:colOff>352425</xdr:colOff>
      <xdr:row>28</xdr:row>
      <xdr:rowOff>133350</xdr:rowOff>
    </xdr:from>
    <xdr:to>
      <xdr:col>11</xdr:col>
      <xdr:colOff>133350</xdr:colOff>
      <xdr:row>29</xdr:row>
      <xdr:rowOff>200025</xdr:rowOff>
    </xdr:to>
    <xdr:sp macro="" textlink="">
      <xdr:nvSpPr>
        <xdr:cNvPr id="4" name="AutoShape 67">
          <a:hlinkClick xmlns:r="http://schemas.openxmlformats.org/officeDocument/2006/relationships" r:id="rId1"/>
          <a:extLst>
            <a:ext uri="{FF2B5EF4-FFF2-40B4-BE49-F238E27FC236}">
              <a16:creationId xmlns:a16="http://schemas.microsoft.com/office/drawing/2014/main" id="{00000000-0008-0000-0000-000004000000}"/>
            </a:ext>
          </a:extLst>
        </xdr:cNvPr>
        <xdr:cNvSpPr>
          <a:spLocks noChangeArrowheads="1"/>
        </xdr:cNvSpPr>
      </xdr:nvSpPr>
      <xdr:spPr bwMode="auto">
        <a:xfrm>
          <a:off x="6162675" y="5781675"/>
          <a:ext cx="542925" cy="209550"/>
        </a:xfrm>
        <a:prstGeom prst="bevel">
          <a:avLst>
            <a:gd name="adj" fmla="val 12500"/>
          </a:avLst>
        </a:prstGeom>
        <a:solidFill>
          <a:srgbClr val="00FF00"/>
        </a:solidFill>
        <a:ln>
          <a:noFill/>
        </a:ln>
        <a:effectLst/>
      </xdr:spPr>
      <xdr:txBody>
        <a:bodyPr vertOverflow="clip" wrap="square" lIns="27432" tIns="22860" rIns="27432" bIns="0" anchor="t" upright="1"/>
        <a:lstStyle/>
        <a:p>
          <a:pPr algn="ctr" rtl="0">
            <a:defRPr sz="1000"/>
          </a:pPr>
          <a:r>
            <a:rPr lang="de-DE" sz="900" b="1" i="0" u="none" strike="noStrike" baseline="0">
              <a:solidFill>
                <a:srgbClr val="000000"/>
              </a:solidFill>
              <a:latin typeface="Arial"/>
              <a:cs typeface="Arial"/>
            </a:rPr>
            <a:t>hier</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411480</xdr:colOff>
          <xdr:row>0</xdr:row>
          <xdr:rowOff>76200</xdr:rowOff>
        </xdr:from>
        <xdr:to>
          <xdr:col>4</xdr:col>
          <xdr:colOff>1295400</xdr:colOff>
          <xdr:row>0</xdr:row>
          <xdr:rowOff>297180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e-DE" sz="1000" b="1" i="0" u="none" strike="noStrike" baseline="0">
                  <a:solidFill>
                    <a:srgbClr val="FF0000"/>
                  </a:solidFill>
                  <a:latin typeface="Arial"/>
                  <a:cs typeface="Arial"/>
                </a:rPr>
                <a:t>abwählen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563880</xdr:colOff>
          <xdr:row>0</xdr:row>
          <xdr:rowOff>76200</xdr:rowOff>
        </xdr:from>
        <xdr:to>
          <xdr:col>8</xdr:col>
          <xdr:colOff>1447800</xdr:colOff>
          <xdr:row>0</xdr:row>
          <xdr:rowOff>297180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e-DE" sz="1000" b="1" i="0" u="none" strike="noStrike" baseline="0">
                  <a:solidFill>
                    <a:srgbClr val="FF0000"/>
                  </a:solidFill>
                  <a:latin typeface="Arial"/>
                  <a:cs typeface="Arial"/>
                </a:rPr>
                <a:t>abwählen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1752600</xdr:colOff>
          <xdr:row>0</xdr:row>
          <xdr:rowOff>83820</xdr:rowOff>
        </xdr:from>
        <xdr:to>
          <xdr:col>4</xdr:col>
          <xdr:colOff>2636520</xdr:colOff>
          <xdr:row>0</xdr:row>
          <xdr:rowOff>304800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100-00000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e-DE" sz="1000" b="1" i="0" u="none" strike="noStrike" baseline="0">
                  <a:solidFill>
                    <a:srgbClr val="FF0000"/>
                  </a:solidFill>
                  <a:latin typeface="Arial"/>
                  <a:cs typeface="Arial"/>
                </a:rPr>
                <a:t>ersetzen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1935480</xdr:colOff>
          <xdr:row>0</xdr:row>
          <xdr:rowOff>76200</xdr:rowOff>
        </xdr:from>
        <xdr:to>
          <xdr:col>8</xdr:col>
          <xdr:colOff>2819400</xdr:colOff>
          <xdr:row>0</xdr:row>
          <xdr:rowOff>297180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1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e-DE" sz="1000" b="1" i="0" u="none" strike="noStrike" baseline="0">
                  <a:solidFill>
                    <a:srgbClr val="FF0000"/>
                  </a:solidFill>
                  <a:latin typeface="Arial"/>
                  <a:cs typeface="Arial"/>
                </a:rPr>
                <a:t>ersetzen</a:t>
              </a:r>
            </a:p>
          </xdr:txBody>
        </xdr:sp>
        <xdr:clientData fPrintsWithSheet="0"/>
      </xdr:twoCellAnchor>
    </mc:Choice>
    <mc:Fallback/>
  </mc:AlternateContent>
  <xdr:twoCellAnchor>
    <xdr:from>
      <xdr:col>2</xdr:col>
      <xdr:colOff>306917</xdr:colOff>
      <xdr:row>7</xdr:row>
      <xdr:rowOff>127000</xdr:rowOff>
    </xdr:from>
    <xdr:to>
      <xdr:col>2</xdr:col>
      <xdr:colOff>334131</xdr:colOff>
      <xdr:row>30</xdr:row>
      <xdr:rowOff>232832</xdr:rowOff>
    </xdr:to>
    <xdr:cxnSp macro="">
      <xdr:nvCxnSpPr>
        <xdr:cNvPr id="11" name="Gerade Verbindung mit Pfeil 10">
          <a:extLst>
            <a:ext uri="{FF2B5EF4-FFF2-40B4-BE49-F238E27FC236}">
              <a16:creationId xmlns:a16="http://schemas.microsoft.com/office/drawing/2014/main" id="{00000000-0008-0000-0100-00000B000000}"/>
            </a:ext>
          </a:extLst>
        </xdr:cNvPr>
        <xdr:cNvCxnSpPr/>
      </xdr:nvCxnSpPr>
      <xdr:spPr>
        <a:xfrm flipV="1">
          <a:off x="635000" y="1894417"/>
          <a:ext cx="27214" cy="7281332"/>
        </a:xfrm>
        <a:prstGeom prst="straightConnector1">
          <a:avLst/>
        </a:prstGeom>
        <a:ln w="82550" cmpd="sng">
          <a:solidFill>
            <a:schemeClr val="tx1"/>
          </a:solidFill>
          <a:prstDash val="solid"/>
          <a:round/>
          <a:headEnd type="none"/>
          <a:tailEnd type="stealth" w="lg" len="lg"/>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6</xdr:col>
          <xdr:colOff>259080</xdr:colOff>
          <xdr:row>0</xdr:row>
          <xdr:rowOff>76200</xdr:rowOff>
        </xdr:from>
        <xdr:to>
          <xdr:col>6</xdr:col>
          <xdr:colOff>1143000</xdr:colOff>
          <xdr:row>0</xdr:row>
          <xdr:rowOff>297180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1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e-DE" sz="1000" b="1" i="0" u="none" strike="noStrike" baseline="0">
                  <a:solidFill>
                    <a:srgbClr val="FF0000"/>
                  </a:solidFill>
                  <a:latin typeface="Arial"/>
                  <a:cs typeface="Arial"/>
                </a:rPr>
                <a:t>abwählen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1828800</xdr:colOff>
          <xdr:row>0</xdr:row>
          <xdr:rowOff>76200</xdr:rowOff>
        </xdr:from>
        <xdr:to>
          <xdr:col>6</xdr:col>
          <xdr:colOff>2712720</xdr:colOff>
          <xdr:row>0</xdr:row>
          <xdr:rowOff>297180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100-00001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e-DE" sz="1000" b="1" i="0" u="none" strike="noStrike" baseline="0">
                  <a:solidFill>
                    <a:srgbClr val="FF0000"/>
                  </a:solidFill>
                  <a:latin typeface="Arial"/>
                  <a:cs typeface="Arial"/>
                </a:rPr>
                <a:t>ersetzen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1714500</xdr:colOff>
          <xdr:row>0</xdr:row>
          <xdr:rowOff>68580</xdr:rowOff>
        </xdr:from>
        <xdr:to>
          <xdr:col>9</xdr:col>
          <xdr:colOff>2598420</xdr:colOff>
          <xdr:row>0</xdr:row>
          <xdr:rowOff>289560</xdr:rowOff>
        </xdr:to>
        <xdr:sp macro="" textlink="">
          <xdr:nvSpPr>
            <xdr:cNvPr id="3092" name="Button 20" hidden="1">
              <a:extLst>
                <a:ext uri="{63B3BB69-23CF-44E3-9099-C40C66FF867C}">
                  <a14:compatExt spid="_x0000_s3092"/>
                </a:ext>
                <a:ext uri="{FF2B5EF4-FFF2-40B4-BE49-F238E27FC236}">
                  <a16:creationId xmlns:a16="http://schemas.microsoft.com/office/drawing/2014/main" id="{00000000-0008-0000-0100-00001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e-DE" sz="1000" b="1" i="0" u="none" strike="noStrike" baseline="0">
                  <a:solidFill>
                    <a:srgbClr val="FF0000"/>
                  </a:solidFill>
                  <a:latin typeface="Arial"/>
                  <a:cs typeface="Arial"/>
                </a:rPr>
                <a:t>ersetzen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342900</xdr:colOff>
          <xdr:row>0</xdr:row>
          <xdr:rowOff>83820</xdr:rowOff>
        </xdr:from>
        <xdr:to>
          <xdr:col>9</xdr:col>
          <xdr:colOff>1226820</xdr:colOff>
          <xdr:row>0</xdr:row>
          <xdr:rowOff>304800</xdr:rowOff>
        </xdr:to>
        <xdr:sp macro="" textlink="">
          <xdr:nvSpPr>
            <xdr:cNvPr id="3093" name="Button 21" hidden="1">
              <a:extLst>
                <a:ext uri="{63B3BB69-23CF-44E3-9099-C40C66FF867C}">
                  <a14:compatExt spid="_x0000_s3093"/>
                </a:ext>
                <a:ext uri="{FF2B5EF4-FFF2-40B4-BE49-F238E27FC236}">
                  <a16:creationId xmlns:a16="http://schemas.microsoft.com/office/drawing/2014/main" id="{00000000-0008-0000-0100-00001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e-DE" sz="1000" b="1" i="0" u="none" strike="noStrike" baseline="0">
                  <a:solidFill>
                    <a:srgbClr val="FF0000"/>
                  </a:solidFill>
                  <a:latin typeface="Arial"/>
                  <a:cs typeface="Arial"/>
                </a:rPr>
                <a:t>abwählen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1</xdr:row>
      <xdr:rowOff>104774</xdr:rowOff>
    </xdr:from>
    <xdr:to>
      <xdr:col>23</xdr:col>
      <xdr:colOff>666750</xdr:colOff>
      <xdr:row>6</xdr:row>
      <xdr:rowOff>161926</xdr:rowOff>
    </xdr:to>
    <xdr:sp macro="" textlink="">
      <xdr:nvSpPr>
        <xdr:cNvPr id="3" name="Text Box 4">
          <a:extLst>
            <a:ext uri="{FF2B5EF4-FFF2-40B4-BE49-F238E27FC236}">
              <a16:creationId xmlns:a16="http://schemas.microsoft.com/office/drawing/2014/main" id="{00000000-0008-0000-0200-000003000000}"/>
            </a:ext>
          </a:extLst>
        </xdr:cNvPr>
        <xdr:cNvSpPr txBox="1">
          <a:spLocks noChangeArrowheads="1"/>
        </xdr:cNvSpPr>
      </xdr:nvSpPr>
      <xdr:spPr bwMode="auto">
        <a:xfrm>
          <a:off x="28575" y="666749"/>
          <a:ext cx="10010775" cy="1543052"/>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de-DE" sz="1000" b="0" i="0" u="none" strike="noStrike" baseline="0">
              <a:solidFill>
                <a:srgbClr val="000000"/>
              </a:solidFill>
              <a:latin typeface="DB Office"/>
            </a:rPr>
            <a:t>Die Bewertung der Qualitätskriterien erfolgt über ein Punktesystem von 0 bis 5 Punkten. Für die Bewertung der Qualitätskriterien sind nur ganzzahlige Bewertungen möglich.</a:t>
          </a:r>
        </a:p>
        <a:p>
          <a:pPr algn="l" rtl="0">
            <a:defRPr sz="1000"/>
          </a:pPr>
          <a:endParaRPr lang="de-DE" sz="1000" b="0" i="0" u="none" strike="noStrike" baseline="0">
            <a:solidFill>
              <a:srgbClr val="000000"/>
            </a:solidFill>
            <a:latin typeface="DB Office"/>
          </a:endParaRPr>
        </a:p>
        <a:p>
          <a:pPr algn="l" rtl="0">
            <a:defRPr sz="1000"/>
          </a:pPr>
          <a:r>
            <a:rPr lang="de-DE" sz="1000" b="0" i="0" u="none" strike="noStrike" baseline="0">
              <a:solidFill>
                <a:srgbClr val="000000"/>
              </a:solidFill>
              <a:latin typeface="DB Office"/>
            </a:rPr>
            <a:t>Aus dem Punktwert für das jeweilige Kriterium und dessen Wichtung ermittelt sich der erreichte Subtrahend in [%].</a:t>
          </a:r>
        </a:p>
        <a:p>
          <a:pPr algn="l" rtl="0">
            <a:defRPr sz="1000"/>
          </a:pPr>
          <a:r>
            <a:rPr lang="de-DE" sz="1000" b="0" i="0" u="none" strike="noStrike" baseline="0">
              <a:solidFill>
                <a:srgbClr val="000000"/>
              </a:solidFill>
              <a:latin typeface="DB Office"/>
            </a:rPr>
            <a:t>Zur Wahrung der Gleichbehandlung wird eine einheitliche Bewertungsbasis angesetzt, diese entspricht dem Durchschnitt der Angebots-Preise. </a:t>
          </a:r>
          <a:br>
            <a:rPr lang="de-DE" sz="1000" b="0" i="0" u="none" strike="noStrike" baseline="0">
              <a:solidFill>
                <a:srgbClr val="000000"/>
              </a:solidFill>
              <a:latin typeface="DB Office"/>
            </a:rPr>
          </a:br>
          <a:r>
            <a:rPr lang="de-DE" sz="1000" b="0" i="0" u="none" strike="noStrike" baseline="0">
              <a:solidFill>
                <a:srgbClr val="000000"/>
              </a:solidFill>
              <a:latin typeface="DB Office"/>
            </a:rPr>
            <a:t>Unter Zuhilfenahme dieser Bewertungsbasis ermittelt sich der Subtrahend in [€].</a:t>
          </a:r>
        </a:p>
        <a:p>
          <a:pPr algn="l" rtl="0">
            <a:defRPr sz="1000"/>
          </a:pPr>
          <a:endParaRPr lang="de-DE" sz="1000" b="0" i="0" u="none" strike="noStrike" baseline="0">
            <a:solidFill>
              <a:srgbClr val="000000"/>
            </a:solidFill>
            <a:latin typeface="DB Office"/>
          </a:endParaRPr>
        </a:p>
        <a:p>
          <a:pPr algn="l" rtl="0">
            <a:defRPr sz="1000"/>
          </a:pPr>
          <a:r>
            <a:rPr lang="de-DE" sz="1000" b="0" i="0" u="none" strike="noStrike" baseline="0">
              <a:solidFill>
                <a:srgbClr val="000000"/>
              </a:solidFill>
              <a:latin typeface="DB Office"/>
            </a:rPr>
            <a:t>Der Bewertungspreis für den jeweiligen Bieter ergibt sich als Differenz aus seinem Angebotspreis und seinem durch Erfüllung der Qualitätskriterien erreichten Subtrahenden. </a:t>
          </a:r>
          <a:br>
            <a:rPr lang="de-DE" sz="1000" b="0" i="0" u="none" strike="noStrike" baseline="0">
              <a:solidFill>
                <a:srgbClr val="000000"/>
              </a:solidFill>
              <a:latin typeface="DB Office"/>
            </a:rPr>
          </a:br>
          <a:r>
            <a:rPr lang="de-DE" sz="1000" b="0" i="0" u="none" strike="noStrike" baseline="0">
              <a:solidFill>
                <a:srgbClr val="000000"/>
              </a:solidFill>
              <a:latin typeface="DB Office"/>
            </a:rPr>
            <a:t>Als Angebotspreis werden die gemäß Reiter "Kriterium Preis!" gewichteten und addierten Preise der LV-Positionen verwendet.</a:t>
          </a:r>
          <a:br>
            <a:rPr lang="de-DE" sz="1000" b="0" i="0" u="none" strike="noStrike" baseline="0">
              <a:solidFill>
                <a:srgbClr val="000000"/>
              </a:solidFill>
              <a:latin typeface="DB Office"/>
            </a:rPr>
          </a:br>
          <a:endParaRPr lang="de-DE" sz="1000" b="0" i="0" u="none" strike="noStrike" baseline="0">
            <a:solidFill>
              <a:srgbClr val="000000"/>
            </a:solidFill>
            <a:latin typeface="DB Office"/>
          </a:endParaRPr>
        </a:p>
        <a:p>
          <a:pPr algn="l" rtl="0">
            <a:defRPr sz="1000"/>
          </a:pPr>
          <a:r>
            <a:rPr lang="de-DE" sz="1000" b="0" i="0" baseline="0">
              <a:effectLst/>
              <a:latin typeface="DB Office" panose="020B0604020202020204" pitchFamily="34" charset="0"/>
              <a:ea typeface="+mn-ea"/>
              <a:cs typeface="+mn-cs"/>
            </a:rPr>
            <a:t>Bei gleichem Bewertungspreis für mehrere Angebote erhält das Angebot mit dem niedrigsten Angebotspreis den Zuschlag.</a:t>
          </a:r>
        </a:p>
      </xdr:txBody>
    </xdr:sp>
    <xdr:clientData/>
  </xdr:twoCellAnchor>
  <xdr:twoCellAnchor>
    <xdr:from>
      <xdr:col>6</xdr:col>
      <xdr:colOff>66675</xdr:colOff>
      <xdr:row>10</xdr:row>
      <xdr:rowOff>76200</xdr:rowOff>
    </xdr:from>
    <xdr:to>
      <xdr:col>6</xdr:col>
      <xdr:colOff>704850</xdr:colOff>
      <xdr:row>10</xdr:row>
      <xdr:rowOff>76200</xdr:rowOff>
    </xdr:to>
    <xdr:sp macro="" textlink="">
      <xdr:nvSpPr>
        <xdr:cNvPr id="4" name="Line 6">
          <a:extLst>
            <a:ext uri="{FF2B5EF4-FFF2-40B4-BE49-F238E27FC236}">
              <a16:creationId xmlns:a16="http://schemas.microsoft.com/office/drawing/2014/main" id="{00000000-0008-0000-0200-000004000000}"/>
            </a:ext>
          </a:extLst>
        </xdr:cNvPr>
        <xdr:cNvSpPr>
          <a:spLocks noChangeShapeType="1"/>
        </xdr:cNvSpPr>
      </xdr:nvSpPr>
      <xdr:spPr bwMode="auto">
        <a:xfrm>
          <a:off x="3429000" y="3095625"/>
          <a:ext cx="638175" cy="0"/>
        </a:xfrm>
        <a:prstGeom prst="line">
          <a:avLst/>
        </a:prstGeom>
        <a:noFill/>
        <a:ln w="9525">
          <a:solidFill>
            <a:srgbClr xmlns:mc="http://schemas.openxmlformats.org/markup-compatibility/2006" xmlns:a14="http://schemas.microsoft.com/office/drawing/2010/main" val="FFFFFF" mc:Ignorable="a14" a14:legacySpreadsheetColorIndex="9"/>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10</xdr:row>
      <xdr:rowOff>9525</xdr:rowOff>
    </xdr:from>
    <xdr:to>
      <xdr:col>1</xdr:col>
      <xdr:colOff>295275</xdr:colOff>
      <xdr:row>13</xdr:row>
      <xdr:rowOff>9525</xdr:rowOff>
    </xdr:to>
    <xdr:cxnSp macro="">
      <xdr:nvCxnSpPr>
        <xdr:cNvPr id="7" name="Gerader Verbinder 6">
          <a:extLst>
            <a:ext uri="{FF2B5EF4-FFF2-40B4-BE49-F238E27FC236}">
              <a16:creationId xmlns:a16="http://schemas.microsoft.com/office/drawing/2014/main" id="{00000000-0008-0000-0200-000007000000}"/>
            </a:ext>
          </a:extLst>
        </xdr:cNvPr>
        <xdr:cNvCxnSpPr/>
      </xdr:nvCxnSpPr>
      <xdr:spPr>
        <a:xfrm flipH="1" flipV="1">
          <a:off x="0" y="2933700"/>
          <a:ext cx="933450" cy="87630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1073150</xdr:colOff>
      <xdr:row>17</xdr:row>
      <xdr:rowOff>28575</xdr:rowOff>
    </xdr:from>
    <xdr:to>
      <xdr:col>22</xdr:col>
      <xdr:colOff>1073150</xdr:colOff>
      <xdr:row>18</xdr:row>
      <xdr:rowOff>142875</xdr:rowOff>
    </xdr:to>
    <xdr:sp macro="" textlink="">
      <xdr:nvSpPr>
        <xdr:cNvPr id="8" name="Line 1">
          <a:extLst>
            <a:ext uri="{FF2B5EF4-FFF2-40B4-BE49-F238E27FC236}">
              <a16:creationId xmlns:a16="http://schemas.microsoft.com/office/drawing/2014/main" id="{00000000-0008-0000-0200-000008000000}"/>
            </a:ext>
          </a:extLst>
        </xdr:cNvPr>
        <xdr:cNvSpPr>
          <a:spLocks noChangeShapeType="1"/>
        </xdr:cNvSpPr>
      </xdr:nvSpPr>
      <xdr:spPr bwMode="auto">
        <a:xfrm flipH="1">
          <a:off x="11303000" y="4838700"/>
          <a:ext cx="0" cy="342900"/>
        </a:xfrm>
        <a:prstGeom prst="line">
          <a:avLst/>
        </a:prstGeom>
        <a:noFill/>
        <a:ln w="47625">
          <a:solidFill>
            <a:srgbClr xmlns:mc="http://schemas.openxmlformats.org/markup-compatibility/2006" xmlns:a14="http://schemas.microsoft.com/office/drawing/2010/main" val="969696" mc:Ignorable="a14" a14:legacySpreadsheetColorIndex="55"/>
          </a:solidFill>
          <a:round/>
          <a:headEnd/>
          <a:tailEnd type="stealth" w="lg" len="lg"/>
        </a:ln>
        <a:extLst>
          <a:ext uri="{909E8E84-426E-40DD-AFC4-6F175D3DCCD1}">
            <a14:hiddenFill xmlns:a14="http://schemas.microsoft.com/office/drawing/2010/main">
              <a:noFill/>
            </a14:hiddenFill>
          </a:ext>
        </a:extLst>
      </xdr:spPr>
    </xdr:sp>
    <xdr:clientData/>
  </xdr:twoCellAnchor>
  <xdr:twoCellAnchor>
    <xdr:from>
      <xdr:col>4</xdr:col>
      <xdr:colOff>57150</xdr:colOff>
      <xdr:row>10</xdr:row>
      <xdr:rowOff>76200</xdr:rowOff>
    </xdr:from>
    <xdr:to>
      <xdr:col>4</xdr:col>
      <xdr:colOff>695325</xdr:colOff>
      <xdr:row>10</xdr:row>
      <xdr:rowOff>76200</xdr:rowOff>
    </xdr:to>
    <xdr:sp macro="" textlink="">
      <xdr:nvSpPr>
        <xdr:cNvPr id="9" name="Line 6">
          <a:extLst>
            <a:ext uri="{FF2B5EF4-FFF2-40B4-BE49-F238E27FC236}">
              <a16:creationId xmlns:a16="http://schemas.microsoft.com/office/drawing/2014/main" id="{00000000-0008-0000-0200-000009000000}"/>
            </a:ext>
          </a:extLst>
        </xdr:cNvPr>
        <xdr:cNvSpPr>
          <a:spLocks noChangeShapeType="1"/>
        </xdr:cNvSpPr>
      </xdr:nvSpPr>
      <xdr:spPr bwMode="auto">
        <a:xfrm>
          <a:off x="1952625" y="3095625"/>
          <a:ext cx="638175" cy="0"/>
        </a:xfrm>
        <a:prstGeom prst="line">
          <a:avLst/>
        </a:prstGeom>
        <a:noFill/>
        <a:ln w="9525">
          <a:solidFill>
            <a:srgbClr xmlns:mc="http://schemas.openxmlformats.org/markup-compatibility/2006" xmlns:a14="http://schemas.microsoft.com/office/drawing/2010/main" val="FFFFFF" mc:Ignorable="a14" a14:legacySpreadsheetColorIndex="9"/>
          </a:solidFill>
          <a:round/>
          <a:headEnd/>
          <a:tailEnd/>
        </a:ln>
        <a:extLst>
          <a:ext uri="{909E8E84-426E-40DD-AFC4-6F175D3DCCD1}">
            <a14:hiddenFill xmlns:a14="http://schemas.microsoft.com/office/drawing/2010/main">
              <a:noFill/>
            </a14:hiddenFill>
          </a:ext>
        </a:extLst>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411480</xdr:colOff>
          <xdr:row>0</xdr:row>
          <xdr:rowOff>76200</xdr:rowOff>
        </xdr:from>
        <xdr:to>
          <xdr:col>4</xdr:col>
          <xdr:colOff>1295400</xdr:colOff>
          <xdr:row>0</xdr:row>
          <xdr:rowOff>297180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e-DE" sz="1000" b="1" i="0" u="none" strike="noStrike" baseline="0">
                  <a:solidFill>
                    <a:srgbClr val="FF0000"/>
                  </a:solidFill>
                  <a:latin typeface="Arial"/>
                  <a:cs typeface="Arial"/>
                </a:rPr>
                <a:t>abwählen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563880</xdr:colOff>
          <xdr:row>0</xdr:row>
          <xdr:rowOff>76200</xdr:rowOff>
        </xdr:from>
        <xdr:to>
          <xdr:col>6</xdr:col>
          <xdr:colOff>1447800</xdr:colOff>
          <xdr:row>0</xdr:row>
          <xdr:rowOff>297180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e-DE" sz="1000" b="1" i="0" u="none" strike="noStrike" baseline="0">
                  <a:solidFill>
                    <a:srgbClr val="FF0000"/>
                  </a:solidFill>
                  <a:latin typeface="Arial"/>
                  <a:cs typeface="Arial"/>
                </a:rPr>
                <a:t>abwählen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464820</xdr:colOff>
          <xdr:row>0</xdr:row>
          <xdr:rowOff>83820</xdr:rowOff>
        </xdr:from>
        <xdr:to>
          <xdr:col>10</xdr:col>
          <xdr:colOff>1356360</xdr:colOff>
          <xdr:row>0</xdr:row>
          <xdr:rowOff>304800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e-DE" sz="1000" b="1" i="0" u="none" strike="noStrike" baseline="0">
                  <a:solidFill>
                    <a:srgbClr val="FF0000"/>
                  </a:solidFill>
                  <a:latin typeface="Arial"/>
                  <a:cs typeface="Arial"/>
                </a:rPr>
                <a:t>abwählen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259080</xdr:colOff>
          <xdr:row>0</xdr:row>
          <xdr:rowOff>68580</xdr:rowOff>
        </xdr:from>
        <xdr:to>
          <xdr:col>8</xdr:col>
          <xdr:colOff>1143000</xdr:colOff>
          <xdr:row>0</xdr:row>
          <xdr:rowOff>289560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4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e-DE" sz="1000" b="1" i="0" u="none" strike="noStrike" baseline="0">
                  <a:solidFill>
                    <a:srgbClr val="FF0000"/>
                  </a:solidFill>
                  <a:latin typeface="Arial"/>
                  <a:cs typeface="Arial"/>
                </a:rPr>
                <a:t>abwählen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2651760</xdr:colOff>
          <xdr:row>2</xdr:row>
          <xdr:rowOff>76200</xdr:rowOff>
        </xdr:from>
        <xdr:to>
          <xdr:col>10</xdr:col>
          <xdr:colOff>2788920</xdr:colOff>
          <xdr:row>2</xdr:row>
          <xdr:rowOff>297180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4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e-DE" sz="1000" b="1" i="0" u="none" strike="noStrike" baseline="0">
                  <a:solidFill>
                    <a:srgbClr val="0000FF"/>
                  </a:solidFill>
                  <a:latin typeface="Arial"/>
                  <a:cs typeface="Arial"/>
                </a:rPr>
                <a:t>Wertungsmatrix und Berechnungsbeispiel</a:t>
              </a:r>
            </a:p>
          </xdr:txBody>
        </xdr:sp>
        <xdr:clientData fPrintsWithSheet="0"/>
      </xdr:twoCellAnchor>
    </mc:Choice>
    <mc:Fallback/>
  </mc:AlternateContent>
  <xdr:twoCellAnchor>
    <xdr:from>
      <xdr:col>8</xdr:col>
      <xdr:colOff>805391</xdr:colOff>
      <xdr:row>2</xdr:row>
      <xdr:rowOff>201083</xdr:rowOff>
    </xdr:from>
    <xdr:to>
      <xdr:col>8</xdr:col>
      <xdr:colOff>1300691</xdr:colOff>
      <xdr:row>2</xdr:row>
      <xdr:rowOff>201083</xdr:rowOff>
    </xdr:to>
    <xdr:sp macro="" textlink="">
      <xdr:nvSpPr>
        <xdr:cNvPr id="7" name="Line 8">
          <a:extLst>
            <a:ext uri="{FF2B5EF4-FFF2-40B4-BE49-F238E27FC236}">
              <a16:creationId xmlns:a16="http://schemas.microsoft.com/office/drawing/2014/main" id="{00000000-0008-0000-0400-000007000000}"/>
            </a:ext>
          </a:extLst>
        </xdr:cNvPr>
        <xdr:cNvSpPr>
          <a:spLocks noChangeShapeType="1"/>
        </xdr:cNvSpPr>
      </xdr:nvSpPr>
      <xdr:spPr bwMode="auto">
        <a:xfrm>
          <a:off x="8434916" y="963083"/>
          <a:ext cx="495300" cy="0"/>
        </a:xfrm>
        <a:prstGeom prst="line">
          <a:avLst/>
        </a:prstGeom>
        <a:noFill/>
        <a:ln w="25400">
          <a:solidFill>
            <a:srgbClr xmlns:mc="http://schemas.openxmlformats.org/markup-compatibility/2006" xmlns:a14="http://schemas.microsoft.com/office/drawing/2010/main" val="000000" mc:Ignorable="a14" a14:legacySpreadsheetColorIndex="64"/>
          </a:solidFill>
          <a:round/>
          <a:headEnd/>
          <a:tailEnd type="stealth" w="lg" len="lg"/>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4</xdr:col>
          <xdr:colOff>1752600</xdr:colOff>
          <xdr:row>0</xdr:row>
          <xdr:rowOff>83820</xdr:rowOff>
        </xdr:from>
        <xdr:to>
          <xdr:col>4</xdr:col>
          <xdr:colOff>2636520</xdr:colOff>
          <xdr:row>0</xdr:row>
          <xdr:rowOff>304800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4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e-DE" sz="1000" b="1" i="0" u="none" strike="noStrike" baseline="0">
                  <a:solidFill>
                    <a:srgbClr val="FF0000"/>
                  </a:solidFill>
                  <a:latin typeface="Arial"/>
                  <a:cs typeface="Arial"/>
                </a:rPr>
                <a:t>ersetzen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1935480</xdr:colOff>
          <xdr:row>0</xdr:row>
          <xdr:rowOff>76200</xdr:rowOff>
        </xdr:from>
        <xdr:to>
          <xdr:col>6</xdr:col>
          <xdr:colOff>2819400</xdr:colOff>
          <xdr:row>0</xdr:row>
          <xdr:rowOff>297180</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4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e-DE" sz="1000" b="1" i="0" u="none" strike="noStrike" baseline="0">
                  <a:solidFill>
                    <a:srgbClr val="FF0000"/>
                  </a:solidFill>
                  <a:latin typeface="Arial"/>
                  <a:cs typeface="Arial"/>
                </a:rPr>
                <a:t>ersetzen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1645920</xdr:colOff>
          <xdr:row>0</xdr:row>
          <xdr:rowOff>76200</xdr:rowOff>
        </xdr:from>
        <xdr:to>
          <xdr:col>8</xdr:col>
          <xdr:colOff>2537460</xdr:colOff>
          <xdr:row>0</xdr:row>
          <xdr:rowOff>297180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4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e-DE" sz="1000" b="1" i="0" u="none" strike="noStrike" baseline="0">
                  <a:solidFill>
                    <a:srgbClr val="FF0000"/>
                  </a:solidFill>
                  <a:latin typeface="Arial"/>
                  <a:cs typeface="Arial"/>
                </a:rPr>
                <a:t>ersetzen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1912620</xdr:colOff>
          <xdr:row>0</xdr:row>
          <xdr:rowOff>83820</xdr:rowOff>
        </xdr:from>
        <xdr:to>
          <xdr:col>10</xdr:col>
          <xdr:colOff>2804160</xdr:colOff>
          <xdr:row>0</xdr:row>
          <xdr:rowOff>304800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4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de-DE" sz="1000" b="1" i="0" u="none" strike="noStrike" baseline="0">
                  <a:solidFill>
                    <a:srgbClr val="FF0000"/>
                  </a:solidFill>
                  <a:latin typeface="Arial"/>
                  <a:cs typeface="Arial"/>
                </a:rPr>
                <a:t>ersetzen</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6">
    <pageSetUpPr fitToPage="1"/>
  </sheetPr>
  <dimension ref="A4:O33"/>
  <sheetViews>
    <sheetView showGridLines="0" workbookViewId="0">
      <selection activeCell="F37" sqref="F37"/>
    </sheetView>
  </sheetViews>
  <sheetFormatPr baseColWidth="10" defaultColWidth="11.44140625" defaultRowHeight="13.2" x14ac:dyDescent="0.25"/>
  <cols>
    <col min="1" max="1" width="9" style="52" customWidth="1"/>
    <col min="2" max="2" width="3" style="52" customWidth="1"/>
    <col min="3" max="3" width="2.88671875" style="52" customWidth="1"/>
    <col min="4" max="7" width="11.44140625" style="52"/>
    <col min="8" max="8" width="3.6640625" style="52" customWidth="1"/>
    <col min="9" max="9" width="11.44140625" style="52" customWidth="1"/>
    <col min="10" max="11" width="11.44140625" style="52"/>
    <col min="12" max="12" width="15.5546875" style="52" customWidth="1"/>
    <col min="13" max="13" width="10.88671875" style="52" customWidth="1"/>
    <col min="14" max="14" width="8.44140625" style="52" customWidth="1"/>
    <col min="15" max="267" width="11.44140625" style="52"/>
    <col min="268" max="268" width="15.5546875" style="52" customWidth="1"/>
    <col min="269" max="523" width="11.44140625" style="52"/>
    <col min="524" max="524" width="15.5546875" style="52" customWidth="1"/>
    <col min="525" max="779" width="11.44140625" style="52"/>
    <col min="780" max="780" width="15.5546875" style="52" customWidth="1"/>
    <col min="781" max="1035" width="11.44140625" style="52"/>
    <col min="1036" max="1036" width="15.5546875" style="52" customWidth="1"/>
    <col min="1037" max="1291" width="11.44140625" style="52"/>
    <col min="1292" max="1292" width="15.5546875" style="52" customWidth="1"/>
    <col min="1293" max="1547" width="11.44140625" style="52"/>
    <col min="1548" max="1548" width="15.5546875" style="52" customWidth="1"/>
    <col min="1549" max="1803" width="11.44140625" style="52"/>
    <col min="1804" max="1804" width="15.5546875" style="52" customWidth="1"/>
    <col min="1805" max="2059" width="11.44140625" style="52"/>
    <col min="2060" max="2060" width="15.5546875" style="52" customWidth="1"/>
    <col min="2061" max="2315" width="11.44140625" style="52"/>
    <col min="2316" max="2316" width="15.5546875" style="52" customWidth="1"/>
    <col min="2317" max="2571" width="11.44140625" style="52"/>
    <col min="2572" max="2572" width="15.5546875" style="52" customWidth="1"/>
    <col min="2573" max="2827" width="11.44140625" style="52"/>
    <col min="2828" max="2828" width="15.5546875" style="52" customWidth="1"/>
    <col min="2829" max="3083" width="11.44140625" style="52"/>
    <col min="3084" max="3084" width="15.5546875" style="52" customWidth="1"/>
    <col min="3085" max="3339" width="11.44140625" style="52"/>
    <col min="3340" max="3340" width="15.5546875" style="52" customWidth="1"/>
    <col min="3341" max="3595" width="11.44140625" style="52"/>
    <col min="3596" max="3596" width="15.5546875" style="52" customWidth="1"/>
    <col min="3597" max="3851" width="11.44140625" style="52"/>
    <col min="3852" max="3852" width="15.5546875" style="52" customWidth="1"/>
    <col min="3853" max="4107" width="11.44140625" style="52"/>
    <col min="4108" max="4108" width="15.5546875" style="52" customWidth="1"/>
    <col min="4109" max="4363" width="11.44140625" style="52"/>
    <col min="4364" max="4364" width="15.5546875" style="52" customWidth="1"/>
    <col min="4365" max="4619" width="11.44140625" style="52"/>
    <col min="4620" max="4620" width="15.5546875" style="52" customWidth="1"/>
    <col min="4621" max="4875" width="11.44140625" style="52"/>
    <col min="4876" max="4876" width="15.5546875" style="52" customWidth="1"/>
    <col min="4877" max="5131" width="11.44140625" style="52"/>
    <col min="5132" max="5132" width="15.5546875" style="52" customWidth="1"/>
    <col min="5133" max="5387" width="11.44140625" style="52"/>
    <col min="5388" max="5388" width="15.5546875" style="52" customWidth="1"/>
    <col min="5389" max="5643" width="11.44140625" style="52"/>
    <col min="5644" max="5644" width="15.5546875" style="52" customWidth="1"/>
    <col min="5645" max="5899" width="11.44140625" style="52"/>
    <col min="5900" max="5900" width="15.5546875" style="52" customWidth="1"/>
    <col min="5901" max="6155" width="11.44140625" style="52"/>
    <col min="6156" max="6156" width="15.5546875" style="52" customWidth="1"/>
    <col min="6157" max="6411" width="11.44140625" style="52"/>
    <col min="6412" max="6412" width="15.5546875" style="52" customWidth="1"/>
    <col min="6413" max="6667" width="11.44140625" style="52"/>
    <col min="6668" max="6668" width="15.5546875" style="52" customWidth="1"/>
    <col min="6669" max="6923" width="11.44140625" style="52"/>
    <col min="6924" max="6924" width="15.5546875" style="52" customWidth="1"/>
    <col min="6925" max="7179" width="11.44140625" style="52"/>
    <col min="7180" max="7180" width="15.5546875" style="52" customWidth="1"/>
    <col min="7181" max="7435" width="11.44140625" style="52"/>
    <col min="7436" max="7436" width="15.5546875" style="52" customWidth="1"/>
    <col min="7437" max="7691" width="11.44140625" style="52"/>
    <col min="7692" max="7692" width="15.5546875" style="52" customWidth="1"/>
    <col min="7693" max="7947" width="11.44140625" style="52"/>
    <col min="7948" max="7948" width="15.5546875" style="52" customWidth="1"/>
    <col min="7949" max="8203" width="11.44140625" style="52"/>
    <col min="8204" max="8204" width="15.5546875" style="52" customWidth="1"/>
    <col min="8205" max="8459" width="11.44140625" style="52"/>
    <col min="8460" max="8460" width="15.5546875" style="52" customWidth="1"/>
    <col min="8461" max="8715" width="11.44140625" style="52"/>
    <col min="8716" max="8716" width="15.5546875" style="52" customWidth="1"/>
    <col min="8717" max="8971" width="11.44140625" style="52"/>
    <col min="8972" max="8972" width="15.5546875" style="52" customWidth="1"/>
    <col min="8973" max="9227" width="11.44140625" style="52"/>
    <col min="9228" max="9228" width="15.5546875" style="52" customWidth="1"/>
    <col min="9229" max="9483" width="11.44140625" style="52"/>
    <col min="9484" max="9484" width="15.5546875" style="52" customWidth="1"/>
    <col min="9485" max="9739" width="11.44140625" style="52"/>
    <col min="9740" max="9740" width="15.5546875" style="52" customWidth="1"/>
    <col min="9741" max="9995" width="11.44140625" style="52"/>
    <col min="9996" max="9996" width="15.5546875" style="52" customWidth="1"/>
    <col min="9997" max="10251" width="11.44140625" style="52"/>
    <col min="10252" max="10252" width="15.5546875" style="52" customWidth="1"/>
    <col min="10253" max="10507" width="11.44140625" style="52"/>
    <col min="10508" max="10508" width="15.5546875" style="52" customWidth="1"/>
    <col min="10509" max="10763" width="11.44140625" style="52"/>
    <col min="10764" max="10764" width="15.5546875" style="52" customWidth="1"/>
    <col min="10765" max="11019" width="11.44140625" style="52"/>
    <col min="11020" max="11020" width="15.5546875" style="52" customWidth="1"/>
    <col min="11021" max="11275" width="11.44140625" style="52"/>
    <col min="11276" max="11276" width="15.5546875" style="52" customWidth="1"/>
    <col min="11277" max="11531" width="11.44140625" style="52"/>
    <col min="11532" max="11532" width="15.5546875" style="52" customWidth="1"/>
    <col min="11533" max="11787" width="11.44140625" style="52"/>
    <col min="11788" max="11788" width="15.5546875" style="52" customWidth="1"/>
    <col min="11789" max="12043" width="11.44140625" style="52"/>
    <col min="12044" max="12044" width="15.5546875" style="52" customWidth="1"/>
    <col min="12045" max="12299" width="11.44140625" style="52"/>
    <col min="12300" max="12300" width="15.5546875" style="52" customWidth="1"/>
    <col min="12301" max="12555" width="11.44140625" style="52"/>
    <col min="12556" max="12556" width="15.5546875" style="52" customWidth="1"/>
    <col min="12557" max="12811" width="11.44140625" style="52"/>
    <col min="12812" max="12812" width="15.5546875" style="52" customWidth="1"/>
    <col min="12813" max="13067" width="11.44140625" style="52"/>
    <col min="13068" max="13068" width="15.5546875" style="52" customWidth="1"/>
    <col min="13069" max="13323" width="11.44140625" style="52"/>
    <col min="13324" max="13324" width="15.5546875" style="52" customWidth="1"/>
    <col min="13325" max="13579" width="11.44140625" style="52"/>
    <col min="13580" max="13580" width="15.5546875" style="52" customWidth="1"/>
    <col min="13581" max="13835" width="11.44140625" style="52"/>
    <col min="13836" max="13836" width="15.5546875" style="52" customWidth="1"/>
    <col min="13837" max="14091" width="11.44140625" style="52"/>
    <col min="14092" max="14092" width="15.5546875" style="52" customWidth="1"/>
    <col min="14093" max="14347" width="11.44140625" style="52"/>
    <col min="14348" max="14348" width="15.5546875" style="52" customWidth="1"/>
    <col min="14349" max="14603" width="11.44140625" style="52"/>
    <col min="14604" max="14604" width="15.5546875" style="52" customWidth="1"/>
    <col min="14605" max="14859" width="11.44140625" style="52"/>
    <col min="14860" max="14860" width="15.5546875" style="52" customWidth="1"/>
    <col min="14861" max="15115" width="11.44140625" style="52"/>
    <col min="15116" max="15116" width="15.5546875" style="52" customWidth="1"/>
    <col min="15117" max="15371" width="11.44140625" style="52"/>
    <col min="15372" max="15372" width="15.5546875" style="52" customWidth="1"/>
    <col min="15373" max="15627" width="11.44140625" style="52"/>
    <col min="15628" max="15628" width="15.5546875" style="52" customWidth="1"/>
    <col min="15629" max="15883" width="11.44140625" style="52"/>
    <col min="15884" max="15884" width="15.5546875" style="52" customWidth="1"/>
    <col min="15885" max="16139" width="11.44140625" style="52"/>
    <col min="16140" max="16140" width="15.5546875" style="52" customWidth="1"/>
    <col min="16141" max="16384" width="11.44140625" style="52"/>
  </cols>
  <sheetData>
    <row r="4" spans="1:15" s="50" customFormat="1" ht="15.6" x14ac:dyDescent="0.25">
      <c r="A4" s="69"/>
      <c r="B4" s="209" t="s">
        <v>0</v>
      </c>
      <c r="C4" s="209"/>
      <c r="D4" s="209"/>
      <c r="E4" s="209"/>
      <c r="F4" s="78"/>
      <c r="G4" s="78"/>
      <c r="H4" s="78"/>
      <c r="I4" s="78"/>
      <c r="J4" s="78"/>
      <c r="K4" s="78"/>
      <c r="L4" s="78"/>
      <c r="M4" s="78"/>
      <c r="N4" s="78"/>
      <c r="O4" s="78"/>
    </row>
    <row r="5" spans="1:15" s="50" customFormat="1" ht="8.25" customHeight="1" x14ac:dyDescent="0.25">
      <c r="A5" s="69"/>
      <c r="B5" s="69"/>
      <c r="C5" s="78"/>
      <c r="D5" s="78"/>
      <c r="E5" s="78"/>
      <c r="F5" s="78"/>
      <c r="G5" s="78"/>
      <c r="H5" s="78"/>
      <c r="I5" s="78"/>
      <c r="J5" s="78"/>
      <c r="K5" s="78"/>
      <c r="L5" s="78"/>
      <c r="M5" s="78"/>
      <c r="N5" s="78"/>
      <c r="O5" s="78"/>
    </row>
    <row r="6" spans="1:15" s="50" customFormat="1" ht="29.25" customHeight="1" x14ac:dyDescent="0.25">
      <c r="A6" s="69"/>
      <c r="B6" s="84" t="s">
        <v>1</v>
      </c>
      <c r="C6" s="207" t="s">
        <v>2</v>
      </c>
      <c r="D6" s="207"/>
      <c r="E6" s="207"/>
      <c r="F6" s="207"/>
      <c r="G6" s="207"/>
      <c r="H6" s="207"/>
      <c r="I6" s="207"/>
      <c r="J6" s="207"/>
      <c r="K6" s="207"/>
      <c r="L6" s="207"/>
      <c r="M6" s="207"/>
      <c r="N6" s="70"/>
      <c r="O6" s="70"/>
    </row>
    <row r="7" spans="1:15" s="50" customFormat="1" ht="3.75" customHeight="1" x14ac:dyDescent="0.25">
      <c r="A7" s="69"/>
      <c r="B7" s="69"/>
      <c r="C7" s="70"/>
      <c r="D7" s="70"/>
      <c r="E7" s="70"/>
      <c r="F7" s="70"/>
      <c r="G7" s="70"/>
      <c r="H7" s="70"/>
      <c r="I7" s="70"/>
      <c r="J7" s="70"/>
      <c r="K7" s="70"/>
      <c r="L7" s="70"/>
      <c r="M7" s="70"/>
      <c r="N7" s="70"/>
      <c r="O7" s="70"/>
    </row>
    <row r="8" spans="1:15" s="50" customFormat="1" ht="13.8" x14ac:dyDescent="0.25">
      <c r="A8" s="69"/>
      <c r="B8" s="69"/>
      <c r="C8" s="208" t="s">
        <v>3</v>
      </c>
      <c r="D8" s="208"/>
      <c r="E8" s="208"/>
      <c r="F8" s="208"/>
      <c r="G8" s="208"/>
      <c r="H8" s="208"/>
      <c r="I8" s="208"/>
      <c r="J8" s="208"/>
      <c r="K8" s="208"/>
      <c r="L8" s="208"/>
      <c r="M8" s="208"/>
      <c r="N8" s="68"/>
      <c r="O8" s="68"/>
    </row>
    <row r="9" spans="1:15" s="51" customFormat="1" ht="13.8" x14ac:dyDescent="0.25">
      <c r="A9" s="68"/>
      <c r="B9" s="68"/>
      <c r="C9" s="73" t="s">
        <v>4</v>
      </c>
      <c r="D9" s="208" t="s">
        <v>5</v>
      </c>
      <c r="E9" s="208"/>
      <c r="F9" s="208"/>
      <c r="G9" s="208"/>
      <c r="H9" s="208"/>
      <c r="I9" s="208"/>
      <c r="J9" s="208"/>
      <c r="K9" s="208"/>
      <c r="L9" s="208"/>
      <c r="M9" s="68"/>
      <c r="N9" s="68"/>
      <c r="O9" s="68"/>
    </row>
    <row r="10" spans="1:15" s="51" customFormat="1" ht="13.8" x14ac:dyDescent="0.25">
      <c r="A10" s="68"/>
      <c r="B10" s="68"/>
      <c r="C10" s="197"/>
      <c r="D10" s="208" t="s">
        <v>6</v>
      </c>
      <c r="E10" s="208"/>
      <c r="F10" s="208"/>
      <c r="G10" s="208"/>
      <c r="H10" s="208"/>
      <c r="I10" s="208"/>
      <c r="J10" s="208"/>
      <c r="K10" s="208"/>
      <c r="L10" s="208"/>
      <c r="M10" s="197"/>
      <c r="N10" s="197"/>
      <c r="O10" s="197"/>
    </row>
    <row r="11" spans="1:15" s="51" customFormat="1" ht="13.8" x14ac:dyDescent="0.25">
      <c r="A11" s="68"/>
      <c r="B11" s="68"/>
      <c r="C11" s="73" t="s">
        <v>7</v>
      </c>
      <c r="D11" s="208" t="s">
        <v>8</v>
      </c>
      <c r="E11" s="208"/>
      <c r="F11" s="208"/>
      <c r="G11" s="208"/>
      <c r="H11" s="208"/>
      <c r="I11" s="208"/>
      <c r="J11" s="208"/>
      <c r="K11" s="208"/>
      <c r="L11" s="208"/>
      <c r="M11" s="68"/>
      <c r="N11" s="68"/>
      <c r="O11" s="68"/>
    </row>
    <row r="12" spans="1:15" s="50" customFormat="1" ht="5.25" customHeight="1" x14ac:dyDescent="0.25">
      <c r="A12" s="69"/>
      <c r="B12" s="69"/>
      <c r="C12" s="70"/>
      <c r="D12" s="70"/>
      <c r="E12" s="70"/>
      <c r="F12" s="70"/>
      <c r="G12" s="70"/>
      <c r="H12" s="70"/>
      <c r="I12" s="70"/>
      <c r="J12" s="70"/>
      <c r="K12" s="70"/>
      <c r="L12" s="70"/>
      <c r="M12" s="70"/>
      <c r="N12" s="70"/>
      <c r="O12" s="70"/>
    </row>
    <row r="13" spans="1:15" s="51" customFormat="1" ht="75.75" customHeight="1" x14ac:dyDescent="0.25">
      <c r="A13" s="68"/>
      <c r="B13" s="68"/>
      <c r="C13" s="211" t="s">
        <v>9</v>
      </c>
      <c r="D13" s="212"/>
      <c r="E13" s="212"/>
      <c r="F13" s="212"/>
      <c r="G13" s="212"/>
      <c r="H13" s="212"/>
      <c r="I13" s="212"/>
      <c r="J13" s="212"/>
      <c r="K13" s="212"/>
      <c r="L13" s="212"/>
      <c r="M13" s="213"/>
      <c r="N13" s="68"/>
      <c r="O13" s="68"/>
    </row>
    <row r="14" spans="1:15" s="50" customFormat="1" ht="6" customHeight="1" x14ac:dyDescent="0.25">
      <c r="A14" s="69"/>
      <c r="B14" s="69"/>
      <c r="C14" s="70"/>
      <c r="D14" s="70"/>
      <c r="E14" s="70"/>
      <c r="F14" s="70"/>
      <c r="G14" s="70"/>
      <c r="H14" s="70"/>
      <c r="I14" s="70"/>
      <c r="J14" s="70"/>
      <c r="K14" s="70"/>
      <c r="L14" s="70"/>
      <c r="M14" s="70"/>
      <c r="N14" s="70"/>
      <c r="O14" s="70"/>
    </row>
    <row r="15" spans="1:15" s="51" customFormat="1" ht="14.25" customHeight="1" x14ac:dyDescent="0.25">
      <c r="A15" s="68"/>
      <c r="B15" s="68"/>
      <c r="C15" s="68" t="s">
        <v>10</v>
      </c>
      <c r="D15" s="197"/>
      <c r="E15" s="197"/>
      <c r="F15" s="197"/>
      <c r="G15" s="197"/>
      <c r="H15" s="197"/>
      <c r="I15" s="197"/>
      <c r="J15" s="197"/>
      <c r="K15" s="197"/>
      <c r="L15" s="197"/>
      <c r="M15" s="68"/>
      <c r="N15" s="68"/>
      <c r="O15" s="68"/>
    </row>
    <row r="16" spans="1:15" s="51" customFormat="1" ht="14.25" customHeight="1" x14ac:dyDescent="0.25">
      <c r="A16" s="68"/>
      <c r="B16" s="68"/>
      <c r="C16" s="71" t="s">
        <v>11</v>
      </c>
      <c r="D16" s="197" t="s">
        <v>12</v>
      </c>
      <c r="E16" s="197"/>
      <c r="F16" s="197"/>
      <c r="G16" s="197"/>
      <c r="H16" s="197"/>
      <c r="J16" s="196"/>
      <c r="K16" s="196"/>
      <c r="L16" s="196"/>
      <c r="M16" s="72"/>
      <c r="N16" s="68"/>
      <c r="O16" s="68"/>
    </row>
    <row r="17" spans="1:15" s="51" customFormat="1" ht="14.25" customHeight="1" x14ac:dyDescent="0.25">
      <c r="A17" s="68"/>
      <c r="B17" s="68"/>
      <c r="C17" s="68"/>
      <c r="D17" s="206" t="s">
        <v>13</v>
      </c>
      <c r="E17" s="206"/>
      <c r="F17" s="206"/>
      <c r="G17" s="206"/>
      <c r="H17" s="206"/>
      <c r="I17" s="206"/>
      <c r="J17" s="206"/>
      <c r="K17" s="206"/>
      <c r="L17" s="206"/>
      <c r="M17" s="206"/>
      <c r="N17" s="68"/>
      <c r="O17" s="68"/>
    </row>
    <row r="18" spans="1:15" s="51" customFormat="1" ht="14.25" customHeight="1" x14ac:dyDescent="0.25">
      <c r="A18" s="68"/>
      <c r="B18" s="68"/>
      <c r="C18" s="68"/>
      <c r="D18" s="197" t="s">
        <v>6</v>
      </c>
      <c r="E18" s="197"/>
      <c r="F18" s="197"/>
      <c r="G18" s="197"/>
      <c r="H18" s="197"/>
      <c r="I18" s="197"/>
      <c r="J18" s="197"/>
      <c r="K18" s="197"/>
      <c r="L18" s="197"/>
      <c r="M18" s="68"/>
      <c r="N18" s="68"/>
      <c r="O18" s="68"/>
    </row>
    <row r="19" spans="1:15" s="51" customFormat="1" ht="14.25" customHeight="1" x14ac:dyDescent="0.25">
      <c r="A19" s="68"/>
      <c r="B19" s="68"/>
      <c r="C19" s="71" t="s">
        <v>11</v>
      </c>
      <c r="D19" s="197" t="s">
        <v>14</v>
      </c>
      <c r="E19" s="197"/>
      <c r="F19" s="197"/>
      <c r="G19" s="197"/>
      <c r="H19" s="197"/>
      <c r="I19" s="72"/>
      <c r="J19" s="72"/>
      <c r="K19" s="72"/>
      <c r="L19" s="72"/>
      <c r="M19" s="72"/>
      <c r="N19" s="68"/>
      <c r="O19" s="68"/>
    </row>
    <row r="20" spans="1:15" s="51" customFormat="1" ht="14.25" customHeight="1" x14ac:dyDescent="0.25">
      <c r="A20" s="68"/>
      <c r="B20" s="68"/>
      <c r="C20" s="71"/>
      <c r="D20" s="206" t="s">
        <v>15</v>
      </c>
      <c r="E20" s="206"/>
      <c r="F20" s="206"/>
      <c r="G20" s="206"/>
      <c r="H20" s="206"/>
      <c r="I20" s="196"/>
      <c r="J20" s="196"/>
      <c r="K20" s="196"/>
      <c r="L20" s="196"/>
      <c r="M20" s="196"/>
      <c r="N20" s="68"/>
      <c r="O20" s="68"/>
    </row>
    <row r="21" spans="1:15" s="50" customFormat="1" ht="5.25" customHeight="1" x14ac:dyDescent="0.25">
      <c r="A21" s="69"/>
      <c r="B21" s="69"/>
      <c r="C21" s="70"/>
      <c r="D21" s="70"/>
      <c r="E21" s="70"/>
      <c r="F21" s="70"/>
      <c r="G21" s="70"/>
      <c r="H21" s="70"/>
      <c r="I21" s="70"/>
      <c r="J21" s="70"/>
      <c r="K21" s="70"/>
      <c r="L21" s="70"/>
      <c r="M21" s="70"/>
      <c r="N21" s="70"/>
      <c r="O21" s="70"/>
    </row>
    <row r="22" spans="1:15" s="51" customFormat="1" ht="14.25" customHeight="1" x14ac:dyDescent="0.25">
      <c r="A22" s="68"/>
      <c r="B22" s="68"/>
      <c r="C22" s="208" t="s">
        <v>16</v>
      </c>
      <c r="D22" s="208"/>
      <c r="E22" s="208"/>
      <c r="F22" s="208"/>
      <c r="G22" s="208"/>
      <c r="H22" s="208"/>
      <c r="I22" s="208"/>
      <c r="J22" s="208"/>
      <c r="K22" s="208"/>
      <c r="L22" s="208"/>
      <c r="M22" s="208"/>
      <c r="N22" s="68"/>
      <c r="O22" s="68"/>
    </row>
    <row r="23" spans="1:15" s="51" customFormat="1" ht="14.25" customHeight="1" x14ac:dyDescent="0.25">
      <c r="A23" s="68"/>
      <c r="B23" s="68"/>
      <c r="C23" s="68"/>
      <c r="D23" s="206" t="s">
        <v>17</v>
      </c>
      <c r="E23" s="206"/>
      <c r="F23" s="206"/>
      <c r="G23" s="206"/>
      <c r="H23" s="206"/>
      <c r="I23" s="206"/>
      <c r="J23" s="206"/>
      <c r="K23" s="206"/>
      <c r="L23" s="206"/>
      <c r="M23" s="206"/>
      <c r="N23" s="68"/>
      <c r="O23" s="68"/>
    </row>
    <row r="24" spans="1:15" s="51" customFormat="1" ht="14.25" customHeight="1" x14ac:dyDescent="0.25">
      <c r="A24" s="68"/>
      <c r="B24" s="68"/>
      <c r="C24" s="68"/>
      <c r="D24" s="206" t="s">
        <v>18</v>
      </c>
      <c r="E24" s="206"/>
      <c r="F24" s="206"/>
      <c r="G24" s="206"/>
      <c r="H24" s="206"/>
      <c r="I24" s="206"/>
      <c r="J24" s="206"/>
      <c r="K24" s="206"/>
      <c r="L24" s="206"/>
      <c r="M24" s="206"/>
      <c r="N24" s="68"/>
      <c r="O24" s="68"/>
    </row>
    <row r="25" spans="1:15" s="50" customFormat="1" ht="5.25" customHeight="1" x14ac:dyDescent="0.25">
      <c r="A25" s="69"/>
      <c r="B25" s="69"/>
      <c r="C25" s="70"/>
      <c r="D25" s="70"/>
      <c r="E25" s="70"/>
      <c r="F25" s="70"/>
      <c r="G25" s="70"/>
      <c r="H25" s="70"/>
      <c r="I25" s="70"/>
      <c r="J25" s="70"/>
      <c r="K25" s="70"/>
      <c r="L25" s="70"/>
      <c r="M25" s="70"/>
      <c r="N25" s="70"/>
      <c r="O25" s="70"/>
    </row>
    <row r="26" spans="1:15" s="51" customFormat="1" ht="29.25" customHeight="1" x14ac:dyDescent="0.25">
      <c r="A26" s="68"/>
      <c r="B26" s="68"/>
      <c r="C26" s="211" t="s">
        <v>19</v>
      </c>
      <c r="D26" s="212"/>
      <c r="E26" s="212"/>
      <c r="F26" s="212"/>
      <c r="G26" s="212"/>
      <c r="H26" s="212"/>
      <c r="I26" s="212"/>
      <c r="J26" s="212"/>
      <c r="K26" s="212"/>
      <c r="L26" s="212"/>
      <c r="M26" s="213"/>
      <c r="N26" s="68"/>
      <c r="O26" s="68"/>
    </row>
    <row r="27" spans="1:15" s="50" customFormat="1" ht="6.75" customHeight="1" x14ac:dyDescent="0.25">
      <c r="A27" s="69"/>
      <c r="B27" s="69"/>
      <c r="C27" s="70"/>
      <c r="D27" s="70"/>
      <c r="E27" s="70"/>
      <c r="F27" s="70"/>
      <c r="G27" s="70"/>
      <c r="H27" s="70"/>
      <c r="I27" s="70"/>
      <c r="J27" s="70"/>
      <c r="K27" s="70"/>
      <c r="L27" s="70"/>
      <c r="M27" s="70"/>
      <c r="N27" s="70"/>
      <c r="O27" s="70"/>
    </row>
    <row r="28" spans="1:15" s="50" customFormat="1" ht="29.25" customHeight="1" x14ac:dyDescent="0.25">
      <c r="A28" s="69"/>
      <c r="B28" s="69"/>
      <c r="C28" s="207" t="s">
        <v>20</v>
      </c>
      <c r="D28" s="207"/>
      <c r="E28" s="207"/>
      <c r="F28" s="207"/>
      <c r="G28" s="207"/>
      <c r="H28" s="207"/>
      <c r="I28" s="207"/>
      <c r="J28" s="207"/>
      <c r="K28" s="207"/>
      <c r="L28" s="207"/>
      <c r="M28" s="207"/>
      <c r="N28" s="68"/>
      <c r="O28" s="68"/>
    </row>
    <row r="29" spans="1:15" ht="11.25" customHeight="1" x14ac:dyDescent="0.25">
      <c r="A29" s="69"/>
      <c r="B29" s="69"/>
      <c r="C29" s="68"/>
      <c r="D29" s="68"/>
      <c r="E29" s="68"/>
      <c r="F29" s="68"/>
      <c r="G29" s="68"/>
      <c r="H29" s="68"/>
      <c r="I29" s="68"/>
      <c r="J29" s="68"/>
      <c r="K29" s="68"/>
      <c r="L29" s="68"/>
      <c r="M29" s="68"/>
      <c r="N29" s="68"/>
      <c r="O29" s="68"/>
    </row>
    <row r="30" spans="1:15" ht="16.5" customHeight="1" x14ac:dyDescent="0.25">
      <c r="B30" s="84" t="s">
        <v>21</v>
      </c>
      <c r="C30" s="210" t="s">
        <v>22</v>
      </c>
      <c r="D30" s="210"/>
      <c r="E30" s="210"/>
      <c r="F30" s="210"/>
      <c r="G30" s="210"/>
      <c r="H30" s="210"/>
      <c r="I30" s="210"/>
      <c r="J30" s="210"/>
      <c r="K30" s="210"/>
      <c r="L30" s="85"/>
      <c r="M30" s="85"/>
      <c r="N30" s="51"/>
      <c r="O30" s="51"/>
    </row>
    <row r="32" spans="1:15" ht="13.8" x14ac:dyDescent="0.25">
      <c r="B32" s="84" t="s">
        <v>23</v>
      </c>
      <c r="C32" s="207" t="s">
        <v>24</v>
      </c>
      <c r="D32" s="207"/>
      <c r="E32" s="207"/>
      <c r="F32" s="207"/>
      <c r="G32" s="207"/>
      <c r="H32" s="207"/>
      <c r="I32" s="207"/>
      <c r="J32" s="207"/>
      <c r="K32" s="207"/>
      <c r="L32" s="207"/>
      <c r="M32" s="207"/>
    </row>
    <row r="33" spans="3:13" ht="13.8" x14ac:dyDescent="0.25">
      <c r="C33" s="207" t="s">
        <v>25</v>
      </c>
      <c r="D33" s="207"/>
      <c r="E33" s="207"/>
      <c r="F33" s="207"/>
      <c r="G33" s="207"/>
      <c r="H33" s="207"/>
      <c r="I33" s="207"/>
      <c r="J33" s="207"/>
      <c r="K33" s="207"/>
      <c r="L33" s="207"/>
      <c r="M33" s="207"/>
    </row>
  </sheetData>
  <sheetProtection sheet="1" objects="1" scenarios="1" selectLockedCells="1"/>
  <mergeCells count="17">
    <mergeCell ref="D23:M23"/>
    <mergeCell ref="D24:M24"/>
    <mergeCell ref="C32:M32"/>
    <mergeCell ref="C33:M33"/>
    <mergeCell ref="D11:L11"/>
    <mergeCell ref="B4:E4"/>
    <mergeCell ref="C30:K30"/>
    <mergeCell ref="C6:M6"/>
    <mergeCell ref="C8:M8"/>
    <mergeCell ref="D9:L9"/>
    <mergeCell ref="D10:L10"/>
    <mergeCell ref="C26:M26"/>
    <mergeCell ref="C28:M28"/>
    <mergeCell ref="C13:M13"/>
    <mergeCell ref="D17:M17"/>
    <mergeCell ref="D20:H20"/>
    <mergeCell ref="C22:M22"/>
  </mergeCells>
  <pageMargins left="0.78740157480314965" right="0.39370078740157483" top="2.1259842519685042" bottom="0.98425196850393704" header="0.51181102362204722" footer="0.51181102362204722"/>
  <pageSetup paperSize="9" scale="69" orientation="portrait" horizontalDpi="300" verticalDpi="300" r:id="rId1"/>
  <headerFooter alignWithMargins="0">
    <oddFooter>&amp;LAnwendungshinweis&amp;RGültig ab: 02.01.2019</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pageSetUpPr fitToPage="1"/>
  </sheetPr>
  <dimension ref="A1:S35"/>
  <sheetViews>
    <sheetView showGridLines="0" zoomScale="110" zoomScaleNormal="110" zoomScalePageLayoutView="70" workbookViewId="0">
      <selection activeCell="E9" sqref="E9"/>
    </sheetView>
  </sheetViews>
  <sheetFormatPr baseColWidth="10" defaultColWidth="11.44140625" defaultRowHeight="13.2" x14ac:dyDescent="0.25"/>
  <cols>
    <col min="1" max="1" width="2.6640625" customWidth="1"/>
    <col min="2" max="2" width="2.109375" customWidth="1"/>
    <col min="3" max="3" width="9.5546875" customWidth="1"/>
    <col min="4" max="4" width="1.33203125" customWidth="1"/>
    <col min="5" max="5" width="45.6640625" customWidth="1"/>
    <col min="6" max="6" width="1.33203125" customWidth="1"/>
    <col min="7" max="7" width="45.6640625" customWidth="1"/>
    <col min="8" max="8" width="1.33203125" customWidth="1"/>
    <col min="9" max="9" width="48.109375" customWidth="1"/>
    <col min="10" max="10" width="49.6640625" customWidth="1"/>
  </cols>
  <sheetData>
    <row r="1" spans="1:19" ht="30" customHeight="1" thickTop="1" thickBot="1" x14ac:dyDescent="0.3">
      <c r="A1" s="8" t="s">
        <v>1</v>
      </c>
      <c r="B1" s="214" t="s">
        <v>26</v>
      </c>
      <c r="C1" s="215"/>
      <c r="D1" s="116"/>
      <c r="E1" s="117"/>
      <c r="F1" s="118"/>
      <c r="G1" s="117"/>
      <c r="H1" s="118"/>
      <c r="I1" s="117"/>
      <c r="J1" s="117"/>
    </row>
    <row r="2" spans="1:19" ht="30" customHeight="1" thickBot="1" x14ac:dyDescent="0.3">
      <c r="A2" s="11" t="s">
        <v>21</v>
      </c>
      <c r="B2" s="221" t="s">
        <v>27</v>
      </c>
      <c r="C2" s="222"/>
      <c r="D2" s="119"/>
      <c r="E2" s="125">
        <v>5</v>
      </c>
      <c r="F2" s="123">
        <v>0</v>
      </c>
      <c r="G2" s="126">
        <v>10</v>
      </c>
      <c r="H2" s="123"/>
      <c r="I2" s="126"/>
      <c r="J2" s="120"/>
    </row>
    <row r="3" spans="1:19" ht="30" customHeight="1" thickTop="1" thickBot="1" x14ac:dyDescent="0.3">
      <c r="A3" s="12" t="s">
        <v>23</v>
      </c>
      <c r="B3" s="216" t="s">
        <v>28</v>
      </c>
      <c r="C3" s="217"/>
      <c r="D3" s="19"/>
      <c r="E3" s="75">
        <f>100-(SUM(E2:J2))</f>
        <v>85</v>
      </c>
      <c r="F3" s="77"/>
      <c r="G3" s="76"/>
      <c r="H3" s="77"/>
      <c r="I3" s="76"/>
      <c r="J3" s="124"/>
    </row>
    <row r="4" spans="1:19" ht="6" customHeight="1" thickTop="1" thickBot="1" x14ac:dyDescent="0.3">
      <c r="B4" s="121"/>
      <c r="C4" s="5"/>
      <c r="E4" s="6"/>
      <c r="G4" s="6"/>
      <c r="I4" s="6"/>
      <c r="J4" s="122"/>
    </row>
    <row r="5" spans="1:19" s="194" customFormat="1" ht="34.799999999999997" x14ac:dyDescent="0.25">
      <c r="B5" s="195"/>
      <c r="C5" s="83"/>
      <c r="D5" s="44"/>
      <c r="E5" s="102" t="s">
        <v>29</v>
      </c>
      <c r="F5" s="44"/>
      <c r="G5" s="102" t="s">
        <v>30</v>
      </c>
      <c r="H5" s="44"/>
      <c r="I5" s="103"/>
      <c r="J5" s="102"/>
    </row>
    <row r="6" spans="1:19" ht="62.25" customHeight="1" thickBot="1" x14ac:dyDescent="0.3">
      <c r="B6" s="113"/>
      <c r="C6" s="81"/>
      <c r="D6" s="43"/>
      <c r="E6" s="112"/>
      <c r="F6" s="45"/>
      <c r="G6" s="112"/>
      <c r="H6" s="45"/>
      <c r="I6" s="127"/>
      <c r="J6" s="111"/>
    </row>
    <row r="7" spans="1:19" ht="15" customHeight="1" x14ac:dyDescent="0.3">
      <c r="B7" s="113"/>
      <c r="C7" s="81"/>
      <c r="D7" s="218" t="s">
        <v>31</v>
      </c>
      <c r="E7" s="218"/>
      <c r="F7" s="218"/>
      <c r="G7" s="218"/>
      <c r="H7" s="218"/>
      <c r="I7" s="218"/>
      <c r="J7" s="218"/>
      <c r="K7" s="109"/>
    </row>
    <row r="8" spans="1:19" ht="15" customHeight="1" thickBot="1" x14ac:dyDescent="0.3">
      <c r="B8" s="113"/>
      <c r="C8" s="81"/>
      <c r="D8" s="219" t="s">
        <v>32</v>
      </c>
      <c r="E8" s="219"/>
      <c r="F8" s="219"/>
      <c r="G8" s="219"/>
      <c r="H8" s="219"/>
      <c r="I8" s="219"/>
      <c r="J8" s="219"/>
      <c r="K8" s="109"/>
    </row>
    <row r="9" spans="1:19" ht="53.25" customHeight="1" thickBot="1" x14ac:dyDescent="0.3">
      <c r="B9" s="113"/>
      <c r="C9" s="81"/>
      <c r="D9" s="86" t="s">
        <v>33</v>
      </c>
      <c r="E9" s="105" t="s">
        <v>34</v>
      </c>
      <c r="F9" s="86" t="s">
        <v>33</v>
      </c>
      <c r="G9" s="105" t="s">
        <v>35</v>
      </c>
      <c r="H9" s="86" t="s">
        <v>33</v>
      </c>
      <c r="I9" s="105"/>
      <c r="J9" s="128"/>
      <c r="K9" s="110"/>
      <c r="M9" s="130"/>
      <c r="S9" s="104"/>
    </row>
    <row r="10" spans="1:19" ht="17.25" hidden="1" customHeight="1" x14ac:dyDescent="0.25">
      <c r="B10" s="113"/>
      <c r="C10" s="81"/>
      <c r="D10" s="88"/>
      <c r="E10" s="108"/>
      <c r="F10" s="106"/>
      <c r="G10" s="107"/>
      <c r="H10" s="106"/>
      <c r="I10" s="108"/>
      <c r="J10" s="108"/>
    </row>
    <row r="11" spans="1:19" ht="9" hidden="1" customHeight="1" thickBot="1" x14ac:dyDescent="0.3">
      <c r="B11" s="113"/>
      <c r="C11" s="81"/>
      <c r="D11" s="89"/>
      <c r="E11" s="94"/>
      <c r="F11" s="98"/>
      <c r="G11" s="94"/>
      <c r="H11" s="98"/>
      <c r="I11" s="94"/>
      <c r="J11" s="94"/>
    </row>
    <row r="12" spans="1:19" ht="22.95" hidden="1" customHeight="1" thickBot="1" x14ac:dyDescent="0.3">
      <c r="B12" s="113"/>
      <c r="C12" s="81"/>
      <c r="D12" s="90"/>
      <c r="E12" s="91"/>
      <c r="F12" s="99"/>
      <c r="G12" s="91"/>
      <c r="H12" s="99"/>
      <c r="I12" s="91"/>
      <c r="J12" s="91"/>
    </row>
    <row r="13" spans="1:19" ht="15" customHeight="1" x14ac:dyDescent="0.3">
      <c r="B13" s="113"/>
      <c r="C13" s="81"/>
      <c r="D13" s="218" t="s">
        <v>36</v>
      </c>
      <c r="E13" s="218"/>
      <c r="F13" s="218"/>
      <c r="G13" s="218"/>
      <c r="H13" s="218"/>
      <c r="I13" s="218"/>
      <c r="J13" s="220"/>
    </row>
    <row r="14" spans="1:19" ht="15.75" customHeight="1" thickBot="1" x14ac:dyDescent="0.3">
      <c r="B14" s="113"/>
      <c r="C14" s="81"/>
      <c r="D14" s="219" t="s">
        <v>37</v>
      </c>
      <c r="E14" s="219"/>
      <c r="F14" s="219"/>
      <c r="G14" s="219"/>
      <c r="H14" s="219"/>
      <c r="I14" s="219"/>
      <c r="J14" s="227"/>
    </row>
    <row r="15" spans="1:19" ht="53.25" customHeight="1" x14ac:dyDescent="0.25">
      <c r="B15" s="113"/>
      <c r="C15" s="81"/>
      <c r="D15" s="95" t="s">
        <v>33</v>
      </c>
      <c r="E15" s="105" t="s">
        <v>34</v>
      </c>
      <c r="F15" s="86" t="s">
        <v>33</v>
      </c>
      <c r="G15" s="105" t="s">
        <v>38</v>
      </c>
      <c r="H15" s="86" t="s">
        <v>33</v>
      </c>
      <c r="I15" s="105"/>
      <c r="J15" s="129"/>
      <c r="L15" s="110"/>
      <c r="S15" s="104"/>
    </row>
    <row r="16" spans="1:19" ht="2.25" customHeight="1" thickBot="1" x14ac:dyDescent="0.3">
      <c r="B16" s="113"/>
      <c r="C16" s="81"/>
      <c r="D16" s="96"/>
      <c r="E16" s="94"/>
      <c r="F16" s="97"/>
      <c r="G16" s="94"/>
      <c r="H16" s="96"/>
      <c r="I16" s="94"/>
      <c r="J16" s="94"/>
      <c r="M16" s="130"/>
    </row>
    <row r="17" spans="1:19" ht="22.95" hidden="1" customHeight="1" thickBot="1" x14ac:dyDescent="0.3">
      <c r="B17" s="113"/>
      <c r="C17" s="81"/>
      <c r="D17" s="96"/>
      <c r="E17" s="94"/>
      <c r="F17" s="96"/>
      <c r="G17" s="94"/>
      <c r="H17" s="96"/>
      <c r="I17" s="94"/>
      <c r="J17" s="94"/>
    </row>
    <row r="18" spans="1:19" ht="15" customHeight="1" x14ac:dyDescent="0.3">
      <c r="B18" s="113"/>
      <c r="C18" s="81"/>
      <c r="D18" s="228" t="s">
        <v>39</v>
      </c>
      <c r="E18" s="218"/>
      <c r="F18" s="218"/>
      <c r="G18" s="218"/>
      <c r="H18" s="218"/>
      <c r="I18" s="218"/>
      <c r="J18" s="220"/>
    </row>
    <row r="19" spans="1:19" ht="15.75" customHeight="1" thickBot="1" x14ac:dyDescent="0.3">
      <c r="B19" s="113"/>
      <c r="C19" s="81"/>
      <c r="D19" s="229" t="s">
        <v>40</v>
      </c>
      <c r="E19" s="219"/>
      <c r="F19" s="219"/>
      <c r="G19" s="219"/>
      <c r="H19" s="219"/>
      <c r="I19" s="219"/>
      <c r="J19" s="227"/>
    </row>
    <row r="20" spans="1:19" ht="53.25" customHeight="1" thickBot="1" x14ac:dyDescent="0.3">
      <c r="B20" s="113"/>
      <c r="C20" s="81"/>
      <c r="D20" s="97" t="s">
        <v>33</v>
      </c>
      <c r="E20" s="105" t="s">
        <v>34</v>
      </c>
      <c r="F20" s="87" t="s">
        <v>33</v>
      </c>
      <c r="G20" s="105" t="s">
        <v>41</v>
      </c>
      <c r="H20" s="87" t="s">
        <v>33</v>
      </c>
      <c r="I20" s="105"/>
      <c r="J20" s="129"/>
      <c r="L20" s="110"/>
      <c r="S20" s="104"/>
    </row>
    <row r="21" spans="1:19" ht="16.5" hidden="1" customHeight="1" thickBot="1" x14ac:dyDescent="0.3">
      <c r="B21" s="113"/>
      <c r="C21" s="81"/>
      <c r="D21" s="97"/>
      <c r="E21" s="79"/>
      <c r="F21" s="96"/>
      <c r="G21" s="79"/>
      <c r="H21" s="96"/>
      <c r="I21" s="79"/>
      <c r="J21" s="94"/>
    </row>
    <row r="22" spans="1:19" ht="22.95" hidden="1" customHeight="1" thickBot="1" x14ac:dyDescent="0.3">
      <c r="B22" s="113"/>
      <c r="C22" s="81"/>
      <c r="D22" s="97"/>
      <c r="E22" s="79"/>
      <c r="F22" s="96"/>
      <c r="G22" s="79"/>
      <c r="H22" s="96"/>
      <c r="I22" s="79"/>
      <c r="J22" s="94"/>
      <c r="M22" s="130"/>
    </row>
    <row r="23" spans="1:19" ht="22.95" hidden="1" customHeight="1" thickBot="1" x14ac:dyDescent="0.3">
      <c r="B23" s="113"/>
      <c r="C23" s="81"/>
      <c r="D23" s="100"/>
      <c r="E23" s="101"/>
      <c r="F23" s="99"/>
      <c r="G23" s="101"/>
      <c r="H23" s="99"/>
      <c r="I23" s="101"/>
      <c r="J23" s="91"/>
    </row>
    <row r="24" spans="1:19" ht="15" customHeight="1" x14ac:dyDescent="0.3">
      <c r="B24" s="113"/>
      <c r="C24" s="81"/>
      <c r="D24" s="228" t="s">
        <v>42</v>
      </c>
      <c r="E24" s="218"/>
      <c r="F24" s="218"/>
      <c r="G24" s="218"/>
      <c r="H24" s="218"/>
      <c r="I24" s="218"/>
      <c r="J24" s="220"/>
    </row>
    <row r="25" spans="1:19" ht="15" customHeight="1" thickBot="1" x14ac:dyDescent="0.3">
      <c r="B25" s="113"/>
      <c r="C25" s="81"/>
      <c r="D25" s="229" t="s">
        <v>43</v>
      </c>
      <c r="E25" s="219"/>
      <c r="F25" s="219"/>
      <c r="G25" s="219"/>
      <c r="H25" s="219"/>
      <c r="I25" s="219"/>
      <c r="J25" s="227"/>
    </row>
    <row r="26" spans="1:19" ht="53.25" customHeight="1" thickBot="1" x14ac:dyDescent="0.3">
      <c r="B26" s="113"/>
      <c r="C26" s="81"/>
      <c r="D26" s="95" t="s">
        <v>33</v>
      </c>
      <c r="E26" s="105" t="s">
        <v>34</v>
      </c>
      <c r="F26" s="86" t="s">
        <v>33</v>
      </c>
      <c r="G26" s="105" t="s">
        <v>44</v>
      </c>
      <c r="H26" s="86" t="s">
        <v>33</v>
      </c>
      <c r="I26" s="105"/>
      <c r="J26" s="129"/>
      <c r="S26" s="104"/>
    </row>
    <row r="27" spans="1:19" ht="13.5" hidden="1" customHeight="1" x14ac:dyDescent="0.25">
      <c r="B27" s="113"/>
      <c r="C27" s="81"/>
      <c r="D27" s="96"/>
      <c r="E27" s="94"/>
      <c r="F27" s="96"/>
      <c r="G27" s="94"/>
      <c r="H27" s="96"/>
      <c r="I27" s="94"/>
      <c r="J27" s="94"/>
    </row>
    <row r="28" spans="1:19" ht="16.95" hidden="1" customHeight="1" thickBot="1" x14ac:dyDescent="0.3">
      <c r="B28" s="113"/>
      <c r="C28" s="81"/>
      <c r="D28" s="99"/>
      <c r="E28" s="91"/>
      <c r="F28" s="99"/>
      <c r="G28" s="91"/>
      <c r="H28" s="99"/>
      <c r="I28" s="91"/>
      <c r="J28" s="91"/>
    </row>
    <row r="29" spans="1:19" ht="15" customHeight="1" thickBot="1" x14ac:dyDescent="0.35">
      <c r="B29" s="113"/>
      <c r="C29" s="81"/>
      <c r="D29" s="224" t="s">
        <v>45</v>
      </c>
      <c r="E29" s="225"/>
      <c r="F29" s="225"/>
      <c r="G29" s="225"/>
      <c r="H29" s="225"/>
      <c r="I29" s="225"/>
      <c r="J29" s="226"/>
      <c r="M29" s="130"/>
    </row>
    <row r="30" spans="1:19" ht="75.75" customHeight="1" x14ac:dyDescent="0.25">
      <c r="B30" s="113"/>
      <c r="C30" s="81"/>
      <c r="D30" s="96" t="s">
        <v>33</v>
      </c>
      <c r="E30" s="105" t="s">
        <v>34</v>
      </c>
      <c r="F30" s="87" t="s">
        <v>33</v>
      </c>
      <c r="G30" s="105" t="s">
        <v>46</v>
      </c>
      <c r="H30" s="87" t="s">
        <v>33</v>
      </c>
      <c r="I30" s="105" t="s">
        <v>47</v>
      </c>
      <c r="J30" s="129"/>
      <c r="S30" s="104"/>
    </row>
    <row r="31" spans="1:19" ht="6" customHeight="1" thickBot="1" x14ac:dyDescent="0.3">
      <c r="B31" s="113"/>
      <c r="C31" s="82"/>
      <c r="D31" s="32"/>
      <c r="E31" s="31"/>
      <c r="F31" s="32"/>
      <c r="G31" s="31"/>
      <c r="H31" s="32"/>
      <c r="I31" s="31"/>
      <c r="J31" s="31"/>
    </row>
    <row r="32" spans="1:19" ht="7.5" customHeight="1" x14ac:dyDescent="0.25">
      <c r="A32" s="80"/>
      <c r="B32" s="114"/>
      <c r="C32" s="115"/>
      <c r="D32" s="115"/>
      <c r="E32" s="115"/>
      <c r="F32" s="115"/>
      <c r="G32" s="115"/>
      <c r="H32" s="115"/>
      <c r="I32" s="115"/>
      <c r="J32" s="115"/>
    </row>
    <row r="34" spans="3:13" ht="26.25" customHeight="1" x14ac:dyDescent="0.25">
      <c r="C34" s="223" t="s">
        <v>48</v>
      </c>
      <c r="D34" s="223"/>
      <c r="E34" s="223"/>
      <c r="F34" s="223"/>
      <c r="G34" s="223"/>
      <c r="H34" s="223"/>
      <c r="I34" s="223"/>
      <c r="J34" s="223"/>
      <c r="M34" s="130"/>
    </row>
    <row r="35" spans="3:13" ht="18" x14ac:dyDescent="0.35">
      <c r="E35" s="3"/>
    </row>
  </sheetData>
  <sheetProtection selectLockedCells="1"/>
  <mergeCells count="13">
    <mergeCell ref="C34:J34"/>
    <mergeCell ref="D29:J29"/>
    <mergeCell ref="D14:J14"/>
    <mergeCell ref="D18:J18"/>
    <mergeCell ref="D19:J19"/>
    <mergeCell ref="D24:J24"/>
    <mergeCell ref="D25:J25"/>
    <mergeCell ref="B1:C1"/>
    <mergeCell ref="B3:C3"/>
    <mergeCell ref="D7:J7"/>
    <mergeCell ref="D8:J8"/>
    <mergeCell ref="D13:J13"/>
    <mergeCell ref="B2:C2"/>
  </mergeCells>
  <phoneticPr fontId="3" type="noConversion"/>
  <printOptions horizontalCentered="1" verticalCentered="1"/>
  <pageMargins left="0.23622047244094491" right="0.23622047244094491" top="0.74803149606299213" bottom="0.35433070866141736" header="0.31496062992125984" footer="0.31496062992125984"/>
  <pageSetup paperSize="8" orientation="landscape" r:id="rId1"/>
  <headerFooter alignWithMargins="0">
    <oddHeader>&amp;L&amp;"Arial,Fett"&amp;14 21FEA52724, RV Fahrtreppen
Kriterien und Wichtung</oddHeader>
    <oddFooter>&amp;L&amp;"Arial,Fett"&amp;9 208.1213V94&amp;"Arial,Standard"  Wertungsmatrix
                            Fachautor: Dirk Petershofer | FS.EI-W-B | Tel.: 9481-4719&amp;RGültig ab: 02.01.2019</oddFooter>
  </headerFooter>
  <ignoredErrors>
    <ignoredError sqref="E3"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Line="0" autoPict="0" macro="[0]!Abwahl_Terminplanung">
                <anchor moveWithCells="1" sizeWithCells="1">
                  <from>
                    <xdr:col>4</xdr:col>
                    <xdr:colOff>411480</xdr:colOff>
                    <xdr:row>0</xdr:row>
                    <xdr:rowOff>76200</xdr:rowOff>
                  </from>
                  <to>
                    <xdr:col>4</xdr:col>
                    <xdr:colOff>1295400</xdr:colOff>
                    <xdr:row>0</xdr:row>
                    <xdr:rowOff>297180</xdr:rowOff>
                  </to>
                </anchor>
              </controlPr>
            </control>
          </mc:Choice>
        </mc:AlternateContent>
        <mc:AlternateContent xmlns:mc="http://schemas.openxmlformats.org/markup-compatibility/2006">
          <mc:Choice Requires="x14">
            <control shapeId="3074" r:id="rId5" name="Button 2">
              <controlPr defaultSize="0" print="0" autoFill="0" autoLine="0" autoPict="0" macro="[0]!Abwahl_Logistik">
                <anchor moveWithCells="1" sizeWithCells="1">
                  <from>
                    <xdr:col>8</xdr:col>
                    <xdr:colOff>563880</xdr:colOff>
                    <xdr:row>0</xdr:row>
                    <xdr:rowOff>76200</xdr:rowOff>
                  </from>
                  <to>
                    <xdr:col>8</xdr:col>
                    <xdr:colOff>1447800</xdr:colOff>
                    <xdr:row>0</xdr:row>
                    <xdr:rowOff>297180</xdr:rowOff>
                  </to>
                </anchor>
              </controlPr>
            </control>
          </mc:Choice>
        </mc:AlternateContent>
        <mc:AlternateContent xmlns:mc="http://schemas.openxmlformats.org/markup-compatibility/2006">
          <mc:Choice Requires="x14">
            <control shapeId="3085" r:id="rId6" name="Button 13">
              <controlPr defaultSize="0" print="0" autoFill="0" autoLine="0" autoPict="0" macro="[0]!Ersatz_Terminplanung">
                <anchor moveWithCells="1" sizeWithCells="1">
                  <from>
                    <xdr:col>4</xdr:col>
                    <xdr:colOff>1752600</xdr:colOff>
                    <xdr:row>0</xdr:row>
                    <xdr:rowOff>83820</xdr:rowOff>
                  </from>
                  <to>
                    <xdr:col>4</xdr:col>
                    <xdr:colOff>2636520</xdr:colOff>
                    <xdr:row>0</xdr:row>
                    <xdr:rowOff>304800</xdr:rowOff>
                  </to>
                </anchor>
              </controlPr>
            </control>
          </mc:Choice>
        </mc:AlternateContent>
        <mc:AlternateContent xmlns:mc="http://schemas.openxmlformats.org/markup-compatibility/2006">
          <mc:Choice Requires="x14">
            <control shapeId="3086" r:id="rId7" name="Button 14">
              <controlPr defaultSize="0" print="0" autoFill="0" autoLine="0" autoPict="0" macro="[0]!Ersatz_Logistik">
                <anchor moveWithCells="1" sizeWithCells="1">
                  <from>
                    <xdr:col>8</xdr:col>
                    <xdr:colOff>1935480</xdr:colOff>
                    <xdr:row>0</xdr:row>
                    <xdr:rowOff>76200</xdr:rowOff>
                  </from>
                  <to>
                    <xdr:col>8</xdr:col>
                    <xdr:colOff>2819400</xdr:colOff>
                    <xdr:row>0</xdr:row>
                    <xdr:rowOff>297180</xdr:rowOff>
                  </to>
                </anchor>
              </controlPr>
            </control>
          </mc:Choice>
        </mc:AlternateContent>
        <mc:AlternateContent xmlns:mc="http://schemas.openxmlformats.org/markup-compatibility/2006">
          <mc:Choice Requires="x14">
            <control shapeId="3087" r:id="rId8" name="Button 15">
              <controlPr defaultSize="0" print="0" autoFill="0" autoLine="0" autoPict="0" macro="[0]!Abwahl_Oberbau">
                <anchor moveWithCells="1" sizeWithCells="1">
                  <from>
                    <xdr:col>6</xdr:col>
                    <xdr:colOff>259080</xdr:colOff>
                    <xdr:row>0</xdr:row>
                    <xdr:rowOff>76200</xdr:rowOff>
                  </from>
                  <to>
                    <xdr:col>6</xdr:col>
                    <xdr:colOff>1143000</xdr:colOff>
                    <xdr:row>0</xdr:row>
                    <xdr:rowOff>297180</xdr:rowOff>
                  </to>
                </anchor>
              </controlPr>
            </control>
          </mc:Choice>
        </mc:AlternateContent>
        <mc:AlternateContent xmlns:mc="http://schemas.openxmlformats.org/markup-compatibility/2006">
          <mc:Choice Requires="x14">
            <control shapeId="3088" r:id="rId9" name="Button 16">
              <controlPr defaultSize="0" print="0" autoFill="0" autoLine="0" autoPict="0" macro="[0]!Ersatz_Oberbau">
                <anchor moveWithCells="1" sizeWithCells="1">
                  <from>
                    <xdr:col>6</xdr:col>
                    <xdr:colOff>1828800</xdr:colOff>
                    <xdr:row>0</xdr:row>
                    <xdr:rowOff>76200</xdr:rowOff>
                  </from>
                  <to>
                    <xdr:col>6</xdr:col>
                    <xdr:colOff>2712720</xdr:colOff>
                    <xdr:row>0</xdr:row>
                    <xdr:rowOff>297180</xdr:rowOff>
                  </to>
                </anchor>
              </controlPr>
            </control>
          </mc:Choice>
        </mc:AlternateContent>
        <mc:AlternateContent xmlns:mc="http://schemas.openxmlformats.org/markup-compatibility/2006">
          <mc:Choice Requires="x14">
            <control shapeId="3092" r:id="rId10" name="Button 20">
              <controlPr defaultSize="0" print="0" autoFill="0" autoLine="0" autoPict="0" macro="[0]!Ersatz_OrgaQuali">
                <anchor moveWithCells="1" sizeWithCells="1">
                  <from>
                    <xdr:col>9</xdr:col>
                    <xdr:colOff>1714500</xdr:colOff>
                    <xdr:row>0</xdr:row>
                    <xdr:rowOff>68580</xdr:rowOff>
                  </from>
                  <to>
                    <xdr:col>9</xdr:col>
                    <xdr:colOff>2598420</xdr:colOff>
                    <xdr:row>0</xdr:row>
                    <xdr:rowOff>289560</xdr:rowOff>
                  </to>
                </anchor>
              </controlPr>
            </control>
          </mc:Choice>
        </mc:AlternateContent>
        <mc:AlternateContent xmlns:mc="http://schemas.openxmlformats.org/markup-compatibility/2006">
          <mc:Choice Requires="x14">
            <control shapeId="3093" r:id="rId11" name="Button 21">
              <controlPr defaultSize="0" print="0" autoFill="0" autoLine="0" autoPict="0" macro="[0]!Abwahl_OrgaQuali">
                <anchor moveWithCells="1" sizeWithCells="1">
                  <from>
                    <xdr:col>9</xdr:col>
                    <xdr:colOff>342900</xdr:colOff>
                    <xdr:row>0</xdr:row>
                    <xdr:rowOff>83820</xdr:rowOff>
                  </from>
                  <to>
                    <xdr:col>9</xdr:col>
                    <xdr:colOff>1226820</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4">
    <pageSetUpPr fitToPage="1"/>
  </sheetPr>
  <dimension ref="A1:Z27"/>
  <sheetViews>
    <sheetView showGridLines="0" zoomScaleNormal="100" workbookViewId="0">
      <selection activeCell="C14" sqref="C14:D14"/>
    </sheetView>
  </sheetViews>
  <sheetFormatPr baseColWidth="10" defaultColWidth="11.44140625" defaultRowHeight="13.2" x14ac:dyDescent="0.25"/>
  <cols>
    <col min="1" max="1" width="9.5546875" style="52" customWidth="1"/>
    <col min="2" max="2" width="4.5546875" style="52" customWidth="1"/>
    <col min="3" max="3" width="4.33203125" style="52" customWidth="1"/>
    <col min="4" max="4" width="10" style="52" customWidth="1"/>
    <col min="5" max="7" width="11" style="52" customWidth="1"/>
    <col min="8" max="8" width="2" style="55" bestFit="1" customWidth="1"/>
    <col min="9" max="9" width="3.88671875" style="52" bestFit="1" customWidth="1"/>
    <col min="10" max="10" width="4.6640625" style="52" customWidth="1"/>
    <col min="11" max="11" width="1" style="52" customWidth="1"/>
    <col min="12" max="12" width="1.88671875" style="55" customWidth="1"/>
    <col min="13" max="13" width="3.88671875" style="52" bestFit="1" customWidth="1"/>
    <col min="14" max="14" width="4.6640625" style="52" customWidth="1"/>
    <col min="15" max="15" width="1" style="52" customWidth="1"/>
    <col min="16" max="16" width="1.88671875" style="55" customWidth="1"/>
    <col min="17" max="17" width="3.88671875" style="52" bestFit="1" customWidth="1"/>
    <col min="18" max="18" width="4.6640625" style="52" customWidth="1"/>
    <col min="19" max="19" width="1.6640625" style="52" customWidth="1"/>
    <col min="20" max="20" width="9.5546875" style="52" customWidth="1"/>
    <col min="21" max="21" width="11.44140625" style="52" hidden="1" customWidth="1"/>
    <col min="22" max="22" width="18.33203125" style="52" customWidth="1"/>
    <col min="23" max="23" width="16.109375" style="52" bestFit="1" customWidth="1"/>
    <col min="24" max="25" width="11.44140625" style="52"/>
    <col min="26" max="26" width="0" style="52" hidden="1" customWidth="1"/>
    <col min="27" max="239" width="11.44140625" style="52"/>
    <col min="240" max="240" width="3.44140625" style="52" customWidth="1"/>
    <col min="241" max="241" width="10.88671875" style="52" customWidth="1"/>
    <col min="242" max="242" width="1" style="52" customWidth="1"/>
    <col min="243" max="243" width="10.88671875" style="52" customWidth="1"/>
    <col min="244" max="244" width="15.33203125" style="52" customWidth="1"/>
    <col min="245" max="245" width="4.33203125" style="52" customWidth="1"/>
    <col min="246" max="246" width="10" style="52" customWidth="1"/>
    <col min="247" max="249" width="10.88671875" style="52" customWidth="1"/>
    <col min="250" max="250" width="11.33203125" style="52" customWidth="1"/>
    <col min="251" max="251" width="10.44140625" style="52" customWidth="1"/>
    <col min="252" max="252" width="4.33203125" style="52" customWidth="1"/>
    <col min="253" max="253" width="0.6640625" style="52" customWidth="1"/>
    <col min="254" max="254" width="4.33203125" style="52" customWidth="1"/>
    <col min="255" max="255" width="1" style="52" customWidth="1"/>
    <col min="256" max="256" width="1.88671875" style="52" customWidth="1"/>
    <col min="257" max="257" width="0.6640625" style="52" customWidth="1"/>
    <col min="258" max="258" width="4.33203125" style="52" customWidth="1"/>
    <col min="259" max="259" width="1" style="52" customWidth="1"/>
    <col min="260" max="260" width="1.88671875" style="52" customWidth="1"/>
    <col min="261" max="261" width="0.6640625" style="52" customWidth="1"/>
    <col min="262" max="262" width="4.33203125" style="52" customWidth="1"/>
    <col min="263" max="263" width="1" style="52" customWidth="1"/>
    <col min="264" max="264" width="1.88671875" style="52" customWidth="1"/>
    <col min="265" max="265" width="0.6640625" style="52" customWidth="1"/>
    <col min="266" max="266" width="4.33203125" style="52" customWidth="1"/>
    <col min="267" max="267" width="1" style="52" customWidth="1"/>
    <col min="268" max="268" width="1.88671875" style="52" customWidth="1"/>
    <col min="269" max="269" width="0.6640625" style="52" customWidth="1"/>
    <col min="270" max="270" width="4.33203125" style="52" customWidth="1"/>
    <col min="271" max="271" width="1.6640625" style="52" customWidth="1"/>
    <col min="272" max="272" width="9.5546875" style="52" customWidth="1"/>
    <col min="273" max="273" width="0" style="52" hidden="1" customWidth="1"/>
    <col min="274" max="274" width="4.6640625" style="52" bestFit="1" customWidth="1"/>
    <col min="275" max="276" width="0" style="52" hidden="1" customWidth="1"/>
    <col min="277" max="495" width="11.44140625" style="52"/>
    <col min="496" max="496" width="3.44140625" style="52" customWidth="1"/>
    <col min="497" max="497" width="10.88671875" style="52" customWidth="1"/>
    <col min="498" max="498" width="1" style="52" customWidth="1"/>
    <col min="499" max="499" width="10.88671875" style="52" customWidth="1"/>
    <col min="500" max="500" width="15.33203125" style="52" customWidth="1"/>
    <col min="501" max="501" width="4.33203125" style="52" customWidth="1"/>
    <col min="502" max="502" width="10" style="52" customWidth="1"/>
    <col min="503" max="505" width="10.88671875" style="52" customWidth="1"/>
    <col min="506" max="506" width="11.33203125" style="52" customWidth="1"/>
    <col min="507" max="507" width="10.44140625" style="52" customWidth="1"/>
    <col min="508" max="508" width="4.33203125" style="52" customWidth="1"/>
    <col min="509" max="509" width="0.6640625" style="52" customWidth="1"/>
    <col min="510" max="510" width="4.33203125" style="52" customWidth="1"/>
    <col min="511" max="511" width="1" style="52" customWidth="1"/>
    <col min="512" max="512" width="1.88671875" style="52" customWidth="1"/>
    <col min="513" max="513" width="0.6640625" style="52" customWidth="1"/>
    <col min="514" max="514" width="4.33203125" style="52" customWidth="1"/>
    <col min="515" max="515" width="1" style="52" customWidth="1"/>
    <col min="516" max="516" width="1.88671875" style="52" customWidth="1"/>
    <col min="517" max="517" width="0.6640625" style="52" customWidth="1"/>
    <col min="518" max="518" width="4.33203125" style="52" customWidth="1"/>
    <col min="519" max="519" width="1" style="52" customWidth="1"/>
    <col min="520" max="520" width="1.88671875" style="52" customWidth="1"/>
    <col min="521" max="521" width="0.6640625" style="52" customWidth="1"/>
    <col min="522" max="522" width="4.33203125" style="52" customWidth="1"/>
    <col min="523" max="523" width="1" style="52" customWidth="1"/>
    <col min="524" max="524" width="1.88671875" style="52" customWidth="1"/>
    <col min="525" max="525" width="0.6640625" style="52" customWidth="1"/>
    <col min="526" max="526" width="4.33203125" style="52" customWidth="1"/>
    <col min="527" max="527" width="1.6640625" style="52" customWidth="1"/>
    <col min="528" max="528" width="9.5546875" style="52" customWidth="1"/>
    <col min="529" max="529" width="0" style="52" hidden="1" customWidth="1"/>
    <col min="530" max="530" width="4.6640625" style="52" bestFit="1" customWidth="1"/>
    <col min="531" max="532" width="0" style="52" hidden="1" customWidth="1"/>
    <col min="533" max="751" width="11.44140625" style="52"/>
    <col min="752" max="752" width="3.44140625" style="52" customWidth="1"/>
    <col min="753" max="753" width="10.88671875" style="52" customWidth="1"/>
    <col min="754" max="754" width="1" style="52" customWidth="1"/>
    <col min="755" max="755" width="10.88671875" style="52" customWidth="1"/>
    <col min="756" max="756" width="15.33203125" style="52" customWidth="1"/>
    <col min="757" max="757" width="4.33203125" style="52" customWidth="1"/>
    <col min="758" max="758" width="10" style="52" customWidth="1"/>
    <col min="759" max="761" width="10.88671875" style="52" customWidth="1"/>
    <col min="762" max="762" width="11.33203125" style="52" customWidth="1"/>
    <col min="763" max="763" width="10.44140625" style="52" customWidth="1"/>
    <col min="764" max="764" width="4.33203125" style="52" customWidth="1"/>
    <col min="765" max="765" width="0.6640625" style="52" customWidth="1"/>
    <col min="766" max="766" width="4.33203125" style="52" customWidth="1"/>
    <col min="767" max="767" width="1" style="52" customWidth="1"/>
    <col min="768" max="768" width="1.88671875" style="52" customWidth="1"/>
    <col min="769" max="769" width="0.6640625" style="52" customWidth="1"/>
    <col min="770" max="770" width="4.33203125" style="52" customWidth="1"/>
    <col min="771" max="771" width="1" style="52" customWidth="1"/>
    <col min="772" max="772" width="1.88671875" style="52" customWidth="1"/>
    <col min="773" max="773" width="0.6640625" style="52" customWidth="1"/>
    <col min="774" max="774" width="4.33203125" style="52" customWidth="1"/>
    <col min="775" max="775" width="1" style="52" customWidth="1"/>
    <col min="776" max="776" width="1.88671875" style="52" customWidth="1"/>
    <col min="777" max="777" width="0.6640625" style="52" customWidth="1"/>
    <col min="778" max="778" width="4.33203125" style="52" customWidth="1"/>
    <col min="779" max="779" width="1" style="52" customWidth="1"/>
    <col min="780" max="780" width="1.88671875" style="52" customWidth="1"/>
    <col min="781" max="781" width="0.6640625" style="52" customWidth="1"/>
    <col min="782" max="782" width="4.33203125" style="52" customWidth="1"/>
    <col min="783" max="783" width="1.6640625" style="52" customWidth="1"/>
    <col min="784" max="784" width="9.5546875" style="52" customWidth="1"/>
    <col min="785" max="785" width="0" style="52" hidden="1" customWidth="1"/>
    <col min="786" max="786" width="4.6640625" style="52" bestFit="1" customWidth="1"/>
    <col min="787" max="788" width="0" style="52" hidden="1" customWidth="1"/>
    <col min="789" max="1007" width="11.44140625" style="52"/>
    <col min="1008" max="1008" width="3.44140625" style="52" customWidth="1"/>
    <col min="1009" max="1009" width="10.88671875" style="52" customWidth="1"/>
    <col min="1010" max="1010" width="1" style="52" customWidth="1"/>
    <col min="1011" max="1011" width="10.88671875" style="52" customWidth="1"/>
    <col min="1012" max="1012" width="15.33203125" style="52" customWidth="1"/>
    <col min="1013" max="1013" width="4.33203125" style="52" customWidth="1"/>
    <col min="1014" max="1014" width="10" style="52" customWidth="1"/>
    <col min="1015" max="1017" width="10.88671875" style="52" customWidth="1"/>
    <col min="1018" max="1018" width="11.33203125" style="52" customWidth="1"/>
    <col min="1019" max="1019" width="10.44140625" style="52" customWidth="1"/>
    <col min="1020" max="1020" width="4.33203125" style="52" customWidth="1"/>
    <col min="1021" max="1021" width="0.6640625" style="52" customWidth="1"/>
    <col min="1022" max="1022" width="4.33203125" style="52" customWidth="1"/>
    <col min="1023" max="1023" width="1" style="52" customWidth="1"/>
    <col min="1024" max="1024" width="1.88671875" style="52" customWidth="1"/>
    <col min="1025" max="1025" width="0.6640625" style="52" customWidth="1"/>
    <col min="1026" max="1026" width="4.33203125" style="52" customWidth="1"/>
    <col min="1027" max="1027" width="1" style="52" customWidth="1"/>
    <col min="1028" max="1028" width="1.88671875" style="52" customWidth="1"/>
    <col min="1029" max="1029" width="0.6640625" style="52" customWidth="1"/>
    <col min="1030" max="1030" width="4.33203125" style="52" customWidth="1"/>
    <col min="1031" max="1031" width="1" style="52" customWidth="1"/>
    <col min="1032" max="1032" width="1.88671875" style="52" customWidth="1"/>
    <col min="1033" max="1033" width="0.6640625" style="52" customWidth="1"/>
    <col min="1034" max="1034" width="4.33203125" style="52" customWidth="1"/>
    <col min="1035" max="1035" width="1" style="52" customWidth="1"/>
    <col min="1036" max="1036" width="1.88671875" style="52" customWidth="1"/>
    <col min="1037" max="1037" width="0.6640625" style="52" customWidth="1"/>
    <col min="1038" max="1038" width="4.33203125" style="52" customWidth="1"/>
    <col min="1039" max="1039" width="1.6640625" style="52" customWidth="1"/>
    <col min="1040" max="1040" width="9.5546875" style="52" customWidth="1"/>
    <col min="1041" max="1041" width="0" style="52" hidden="1" customWidth="1"/>
    <col min="1042" max="1042" width="4.6640625" style="52" bestFit="1" customWidth="1"/>
    <col min="1043" max="1044" width="0" style="52" hidden="1" customWidth="1"/>
    <col min="1045" max="1263" width="11.44140625" style="52"/>
    <col min="1264" max="1264" width="3.44140625" style="52" customWidth="1"/>
    <col min="1265" max="1265" width="10.88671875" style="52" customWidth="1"/>
    <col min="1266" max="1266" width="1" style="52" customWidth="1"/>
    <col min="1267" max="1267" width="10.88671875" style="52" customWidth="1"/>
    <col min="1268" max="1268" width="15.33203125" style="52" customWidth="1"/>
    <col min="1269" max="1269" width="4.33203125" style="52" customWidth="1"/>
    <col min="1270" max="1270" width="10" style="52" customWidth="1"/>
    <col min="1271" max="1273" width="10.88671875" style="52" customWidth="1"/>
    <col min="1274" max="1274" width="11.33203125" style="52" customWidth="1"/>
    <col min="1275" max="1275" width="10.44140625" style="52" customWidth="1"/>
    <col min="1276" max="1276" width="4.33203125" style="52" customWidth="1"/>
    <col min="1277" max="1277" width="0.6640625" style="52" customWidth="1"/>
    <col min="1278" max="1278" width="4.33203125" style="52" customWidth="1"/>
    <col min="1279" max="1279" width="1" style="52" customWidth="1"/>
    <col min="1280" max="1280" width="1.88671875" style="52" customWidth="1"/>
    <col min="1281" max="1281" width="0.6640625" style="52" customWidth="1"/>
    <col min="1282" max="1282" width="4.33203125" style="52" customWidth="1"/>
    <col min="1283" max="1283" width="1" style="52" customWidth="1"/>
    <col min="1284" max="1284" width="1.88671875" style="52" customWidth="1"/>
    <col min="1285" max="1285" width="0.6640625" style="52" customWidth="1"/>
    <col min="1286" max="1286" width="4.33203125" style="52" customWidth="1"/>
    <col min="1287" max="1287" width="1" style="52" customWidth="1"/>
    <col min="1288" max="1288" width="1.88671875" style="52" customWidth="1"/>
    <col min="1289" max="1289" width="0.6640625" style="52" customWidth="1"/>
    <col min="1290" max="1290" width="4.33203125" style="52" customWidth="1"/>
    <col min="1291" max="1291" width="1" style="52" customWidth="1"/>
    <col min="1292" max="1292" width="1.88671875" style="52" customWidth="1"/>
    <col min="1293" max="1293" width="0.6640625" style="52" customWidth="1"/>
    <col min="1294" max="1294" width="4.33203125" style="52" customWidth="1"/>
    <col min="1295" max="1295" width="1.6640625" style="52" customWidth="1"/>
    <col min="1296" max="1296" width="9.5546875" style="52" customWidth="1"/>
    <col min="1297" max="1297" width="0" style="52" hidden="1" customWidth="1"/>
    <col min="1298" max="1298" width="4.6640625" style="52" bestFit="1" customWidth="1"/>
    <col min="1299" max="1300" width="0" style="52" hidden="1" customWidth="1"/>
    <col min="1301" max="1519" width="11.44140625" style="52"/>
    <col min="1520" max="1520" width="3.44140625" style="52" customWidth="1"/>
    <col min="1521" max="1521" width="10.88671875" style="52" customWidth="1"/>
    <col min="1522" max="1522" width="1" style="52" customWidth="1"/>
    <col min="1523" max="1523" width="10.88671875" style="52" customWidth="1"/>
    <col min="1524" max="1524" width="15.33203125" style="52" customWidth="1"/>
    <col min="1525" max="1525" width="4.33203125" style="52" customWidth="1"/>
    <col min="1526" max="1526" width="10" style="52" customWidth="1"/>
    <col min="1527" max="1529" width="10.88671875" style="52" customWidth="1"/>
    <col min="1530" max="1530" width="11.33203125" style="52" customWidth="1"/>
    <col min="1531" max="1531" width="10.44140625" style="52" customWidth="1"/>
    <col min="1532" max="1532" width="4.33203125" style="52" customWidth="1"/>
    <col min="1533" max="1533" width="0.6640625" style="52" customWidth="1"/>
    <col min="1534" max="1534" width="4.33203125" style="52" customWidth="1"/>
    <col min="1535" max="1535" width="1" style="52" customWidth="1"/>
    <col min="1536" max="1536" width="1.88671875" style="52" customWidth="1"/>
    <col min="1537" max="1537" width="0.6640625" style="52" customWidth="1"/>
    <col min="1538" max="1538" width="4.33203125" style="52" customWidth="1"/>
    <col min="1539" max="1539" width="1" style="52" customWidth="1"/>
    <col min="1540" max="1540" width="1.88671875" style="52" customWidth="1"/>
    <col min="1541" max="1541" width="0.6640625" style="52" customWidth="1"/>
    <col min="1542" max="1542" width="4.33203125" style="52" customWidth="1"/>
    <col min="1543" max="1543" width="1" style="52" customWidth="1"/>
    <col min="1544" max="1544" width="1.88671875" style="52" customWidth="1"/>
    <col min="1545" max="1545" width="0.6640625" style="52" customWidth="1"/>
    <col min="1546" max="1546" width="4.33203125" style="52" customWidth="1"/>
    <col min="1547" max="1547" width="1" style="52" customWidth="1"/>
    <col min="1548" max="1548" width="1.88671875" style="52" customWidth="1"/>
    <col min="1549" max="1549" width="0.6640625" style="52" customWidth="1"/>
    <col min="1550" max="1550" width="4.33203125" style="52" customWidth="1"/>
    <col min="1551" max="1551" width="1.6640625" style="52" customWidth="1"/>
    <col min="1552" max="1552" width="9.5546875" style="52" customWidth="1"/>
    <col min="1553" max="1553" width="0" style="52" hidden="1" customWidth="1"/>
    <col min="1554" max="1554" width="4.6640625" style="52" bestFit="1" customWidth="1"/>
    <col min="1555" max="1556" width="0" style="52" hidden="1" customWidth="1"/>
    <col min="1557" max="1775" width="11.44140625" style="52"/>
    <col min="1776" max="1776" width="3.44140625" style="52" customWidth="1"/>
    <col min="1777" max="1777" width="10.88671875" style="52" customWidth="1"/>
    <col min="1778" max="1778" width="1" style="52" customWidth="1"/>
    <col min="1779" max="1779" width="10.88671875" style="52" customWidth="1"/>
    <col min="1780" max="1780" width="15.33203125" style="52" customWidth="1"/>
    <col min="1781" max="1781" width="4.33203125" style="52" customWidth="1"/>
    <col min="1782" max="1782" width="10" style="52" customWidth="1"/>
    <col min="1783" max="1785" width="10.88671875" style="52" customWidth="1"/>
    <col min="1786" max="1786" width="11.33203125" style="52" customWidth="1"/>
    <col min="1787" max="1787" width="10.44140625" style="52" customWidth="1"/>
    <col min="1788" max="1788" width="4.33203125" style="52" customWidth="1"/>
    <col min="1789" max="1789" width="0.6640625" style="52" customWidth="1"/>
    <col min="1790" max="1790" width="4.33203125" style="52" customWidth="1"/>
    <col min="1791" max="1791" width="1" style="52" customWidth="1"/>
    <col min="1792" max="1792" width="1.88671875" style="52" customWidth="1"/>
    <col min="1793" max="1793" width="0.6640625" style="52" customWidth="1"/>
    <col min="1794" max="1794" width="4.33203125" style="52" customWidth="1"/>
    <col min="1795" max="1795" width="1" style="52" customWidth="1"/>
    <col min="1796" max="1796" width="1.88671875" style="52" customWidth="1"/>
    <col min="1797" max="1797" width="0.6640625" style="52" customWidth="1"/>
    <col min="1798" max="1798" width="4.33203125" style="52" customWidth="1"/>
    <col min="1799" max="1799" width="1" style="52" customWidth="1"/>
    <col min="1800" max="1800" width="1.88671875" style="52" customWidth="1"/>
    <col min="1801" max="1801" width="0.6640625" style="52" customWidth="1"/>
    <col min="1802" max="1802" width="4.33203125" style="52" customWidth="1"/>
    <col min="1803" max="1803" width="1" style="52" customWidth="1"/>
    <col min="1804" max="1804" width="1.88671875" style="52" customWidth="1"/>
    <col min="1805" max="1805" width="0.6640625" style="52" customWidth="1"/>
    <col min="1806" max="1806" width="4.33203125" style="52" customWidth="1"/>
    <col min="1807" max="1807" width="1.6640625" style="52" customWidth="1"/>
    <col min="1808" max="1808" width="9.5546875" style="52" customWidth="1"/>
    <col min="1809" max="1809" width="0" style="52" hidden="1" customWidth="1"/>
    <col min="1810" max="1810" width="4.6640625" style="52" bestFit="1" customWidth="1"/>
    <col min="1811" max="1812" width="0" style="52" hidden="1" customWidth="1"/>
    <col min="1813" max="2031" width="11.44140625" style="52"/>
    <col min="2032" max="2032" width="3.44140625" style="52" customWidth="1"/>
    <col min="2033" max="2033" width="10.88671875" style="52" customWidth="1"/>
    <col min="2034" max="2034" width="1" style="52" customWidth="1"/>
    <col min="2035" max="2035" width="10.88671875" style="52" customWidth="1"/>
    <col min="2036" max="2036" width="15.33203125" style="52" customWidth="1"/>
    <col min="2037" max="2037" width="4.33203125" style="52" customWidth="1"/>
    <col min="2038" max="2038" width="10" style="52" customWidth="1"/>
    <col min="2039" max="2041" width="10.88671875" style="52" customWidth="1"/>
    <col min="2042" max="2042" width="11.33203125" style="52" customWidth="1"/>
    <col min="2043" max="2043" width="10.44140625" style="52" customWidth="1"/>
    <col min="2044" max="2044" width="4.33203125" style="52" customWidth="1"/>
    <col min="2045" max="2045" width="0.6640625" style="52" customWidth="1"/>
    <col min="2046" max="2046" width="4.33203125" style="52" customWidth="1"/>
    <col min="2047" max="2047" width="1" style="52" customWidth="1"/>
    <col min="2048" max="2048" width="1.88671875" style="52" customWidth="1"/>
    <col min="2049" max="2049" width="0.6640625" style="52" customWidth="1"/>
    <col min="2050" max="2050" width="4.33203125" style="52" customWidth="1"/>
    <col min="2051" max="2051" width="1" style="52" customWidth="1"/>
    <col min="2052" max="2052" width="1.88671875" style="52" customWidth="1"/>
    <col min="2053" max="2053" width="0.6640625" style="52" customWidth="1"/>
    <col min="2054" max="2054" width="4.33203125" style="52" customWidth="1"/>
    <col min="2055" max="2055" width="1" style="52" customWidth="1"/>
    <col min="2056" max="2056" width="1.88671875" style="52" customWidth="1"/>
    <col min="2057" max="2057" width="0.6640625" style="52" customWidth="1"/>
    <col min="2058" max="2058" width="4.33203125" style="52" customWidth="1"/>
    <col min="2059" max="2059" width="1" style="52" customWidth="1"/>
    <col min="2060" max="2060" width="1.88671875" style="52" customWidth="1"/>
    <col min="2061" max="2061" width="0.6640625" style="52" customWidth="1"/>
    <col min="2062" max="2062" width="4.33203125" style="52" customWidth="1"/>
    <col min="2063" max="2063" width="1.6640625" style="52" customWidth="1"/>
    <col min="2064" max="2064" width="9.5546875" style="52" customWidth="1"/>
    <col min="2065" max="2065" width="0" style="52" hidden="1" customWidth="1"/>
    <col min="2066" max="2066" width="4.6640625" style="52" bestFit="1" customWidth="1"/>
    <col min="2067" max="2068" width="0" style="52" hidden="1" customWidth="1"/>
    <col min="2069" max="2287" width="11.44140625" style="52"/>
    <col min="2288" max="2288" width="3.44140625" style="52" customWidth="1"/>
    <col min="2289" max="2289" width="10.88671875" style="52" customWidth="1"/>
    <col min="2290" max="2290" width="1" style="52" customWidth="1"/>
    <col min="2291" max="2291" width="10.88671875" style="52" customWidth="1"/>
    <col min="2292" max="2292" width="15.33203125" style="52" customWidth="1"/>
    <col min="2293" max="2293" width="4.33203125" style="52" customWidth="1"/>
    <col min="2294" max="2294" width="10" style="52" customWidth="1"/>
    <col min="2295" max="2297" width="10.88671875" style="52" customWidth="1"/>
    <col min="2298" max="2298" width="11.33203125" style="52" customWidth="1"/>
    <col min="2299" max="2299" width="10.44140625" style="52" customWidth="1"/>
    <col min="2300" max="2300" width="4.33203125" style="52" customWidth="1"/>
    <col min="2301" max="2301" width="0.6640625" style="52" customWidth="1"/>
    <col min="2302" max="2302" width="4.33203125" style="52" customWidth="1"/>
    <col min="2303" max="2303" width="1" style="52" customWidth="1"/>
    <col min="2304" max="2304" width="1.88671875" style="52" customWidth="1"/>
    <col min="2305" max="2305" width="0.6640625" style="52" customWidth="1"/>
    <col min="2306" max="2306" width="4.33203125" style="52" customWidth="1"/>
    <col min="2307" max="2307" width="1" style="52" customWidth="1"/>
    <col min="2308" max="2308" width="1.88671875" style="52" customWidth="1"/>
    <col min="2309" max="2309" width="0.6640625" style="52" customWidth="1"/>
    <col min="2310" max="2310" width="4.33203125" style="52" customWidth="1"/>
    <col min="2311" max="2311" width="1" style="52" customWidth="1"/>
    <col min="2312" max="2312" width="1.88671875" style="52" customWidth="1"/>
    <col min="2313" max="2313" width="0.6640625" style="52" customWidth="1"/>
    <col min="2314" max="2314" width="4.33203125" style="52" customWidth="1"/>
    <col min="2315" max="2315" width="1" style="52" customWidth="1"/>
    <col min="2316" max="2316" width="1.88671875" style="52" customWidth="1"/>
    <col min="2317" max="2317" width="0.6640625" style="52" customWidth="1"/>
    <col min="2318" max="2318" width="4.33203125" style="52" customWidth="1"/>
    <col min="2319" max="2319" width="1.6640625" style="52" customWidth="1"/>
    <col min="2320" max="2320" width="9.5546875" style="52" customWidth="1"/>
    <col min="2321" max="2321" width="0" style="52" hidden="1" customWidth="1"/>
    <col min="2322" max="2322" width="4.6640625" style="52" bestFit="1" customWidth="1"/>
    <col min="2323" max="2324" width="0" style="52" hidden="1" customWidth="1"/>
    <col min="2325" max="2543" width="11.44140625" style="52"/>
    <col min="2544" max="2544" width="3.44140625" style="52" customWidth="1"/>
    <col min="2545" max="2545" width="10.88671875" style="52" customWidth="1"/>
    <col min="2546" max="2546" width="1" style="52" customWidth="1"/>
    <col min="2547" max="2547" width="10.88671875" style="52" customWidth="1"/>
    <col min="2548" max="2548" width="15.33203125" style="52" customWidth="1"/>
    <col min="2549" max="2549" width="4.33203125" style="52" customWidth="1"/>
    <col min="2550" max="2550" width="10" style="52" customWidth="1"/>
    <col min="2551" max="2553" width="10.88671875" style="52" customWidth="1"/>
    <col min="2554" max="2554" width="11.33203125" style="52" customWidth="1"/>
    <col min="2555" max="2555" width="10.44140625" style="52" customWidth="1"/>
    <col min="2556" max="2556" width="4.33203125" style="52" customWidth="1"/>
    <col min="2557" max="2557" width="0.6640625" style="52" customWidth="1"/>
    <col min="2558" max="2558" width="4.33203125" style="52" customWidth="1"/>
    <col min="2559" max="2559" width="1" style="52" customWidth="1"/>
    <col min="2560" max="2560" width="1.88671875" style="52" customWidth="1"/>
    <col min="2561" max="2561" width="0.6640625" style="52" customWidth="1"/>
    <col min="2562" max="2562" width="4.33203125" style="52" customWidth="1"/>
    <col min="2563" max="2563" width="1" style="52" customWidth="1"/>
    <col min="2564" max="2564" width="1.88671875" style="52" customWidth="1"/>
    <col min="2565" max="2565" width="0.6640625" style="52" customWidth="1"/>
    <col min="2566" max="2566" width="4.33203125" style="52" customWidth="1"/>
    <col min="2567" max="2567" width="1" style="52" customWidth="1"/>
    <col min="2568" max="2568" width="1.88671875" style="52" customWidth="1"/>
    <col min="2569" max="2569" width="0.6640625" style="52" customWidth="1"/>
    <col min="2570" max="2570" width="4.33203125" style="52" customWidth="1"/>
    <col min="2571" max="2571" width="1" style="52" customWidth="1"/>
    <col min="2572" max="2572" width="1.88671875" style="52" customWidth="1"/>
    <col min="2573" max="2573" width="0.6640625" style="52" customWidth="1"/>
    <col min="2574" max="2574" width="4.33203125" style="52" customWidth="1"/>
    <col min="2575" max="2575" width="1.6640625" style="52" customWidth="1"/>
    <col min="2576" max="2576" width="9.5546875" style="52" customWidth="1"/>
    <col min="2577" max="2577" width="0" style="52" hidden="1" customWidth="1"/>
    <col min="2578" max="2578" width="4.6640625" style="52" bestFit="1" customWidth="1"/>
    <col min="2579" max="2580" width="0" style="52" hidden="1" customWidth="1"/>
    <col min="2581" max="2799" width="11.44140625" style="52"/>
    <col min="2800" max="2800" width="3.44140625" style="52" customWidth="1"/>
    <col min="2801" max="2801" width="10.88671875" style="52" customWidth="1"/>
    <col min="2802" max="2802" width="1" style="52" customWidth="1"/>
    <col min="2803" max="2803" width="10.88671875" style="52" customWidth="1"/>
    <col min="2804" max="2804" width="15.33203125" style="52" customWidth="1"/>
    <col min="2805" max="2805" width="4.33203125" style="52" customWidth="1"/>
    <col min="2806" max="2806" width="10" style="52" customWidth="1"/>
    <col min="2807" max="2809" width="10.88671875" style="52" customWidth="1"/>
    <col min="2810" max="2810" width="11.33203125" style="52" customWidth="1"/>
    <col min="2811" max="2811" width="10.44140625" style="52" customWidth="1"/>
    <col min="2812" max="2812" width="4.33203125" style="52" customWidth="1"/>
    <col min="2813" max="2813" width="0.6640625" style="52" customWidth="1"/>
    <col min="2814" max="2814" width="4.33203125" style="52" customWidth="1"/>
    <col min="2815" max="2815" width="1" style="52" customWidth="1"/>
    <col min="2816" max="2816" width="1.88671875" style="52" customWidth="1"/>
    <col min="2817" max="2817" width="0.6640625" style="52" customWidth="1"/>
    <col min="2818" max="2818" width="4.33203125" style="52" customWidth="1"/>
    <col min="2819" max="2819" width="1" style="52" customWidth="1"/>
    <col min="2820" max="2820" width="1.88671875" style="52" customWidth="1"/>
    <col min="2821" max="2821" width="0.6640625" style="52" customWidth="1"/>
    <col min="2822" max="2822" width="4.33203125" style="52" customWidth="1"/>
    <col min="2823" max="2823" width="1" style="52" customWidth="1"/>
    <col min="2824" max="2824" width="1.88671875" style="52" customWidth="1"/>
    <col min="2825" max="2825" width="0.6640625" style="52" customWidth="1"/>
    <col min="2826" max="2826" width="4.33203125" style="52" customWidth="1"/>
    <col min="2827" max="2827" width="1" style="52" customWidth="1"/>
    <col min="2828" max="2828" width="1.88671875" style="52" customWidth="1"/>
    <col min="2829" max="2829" width="0.6640625" style="52" customWidth="1"/>
    <col min="2830" max="2830" width="4.33203125" style="52" customWidth="1"/>
    <col min="2831" max="2831" width="1.6640625" style="52" customWidth="1"/>
    <col min="2832" max="2832" width="9.5546875" style="52" customWidth="1"/>
    <col min="2833" max="2833" width="0" style="52" hidden="1" customWidth="1"/>
    <col min="2834" max="2834" width="4.6640625" style="52" bestFit="1" customWidth="1"/>
    <col min="2835" max="2836" width="0" style="52" hidden="1" customWidth="1"/>
    <col min="2837" max="3055" width="11.44140625" style="52"/>
    <col min="3056" max="3056" width="3.44140625" style="52" customWidth="1"/>
    <col min="3057" max="3057" width="10.88671875" style="52" customWidth="1"/>
    <col min="3058" max="3058" width="1" style="52" customWidth="1"/>
    <col min="3059" max="3059" width="10.88671875" style="52" customWidth="1"/>
    <col min="3060" max="3060" width="15.33203125" style="52" customWidth="1"/>
    <col min="3061" max="3061" width="4.33203125" style="52" customWidth="1"/>
    <col min="3062" max="3062" width="10" style="52" customWidth="1"/>
    <col min="3063" max="3065" width="10.88671875" style="52" customWidth="1"/>
    <col min="3066" max="3066" width="11.33203125" style="52" customWidth="1"/>
    <col min="3067" max="3067" width="10.44140625" style="52" customWidth="1"/>
    <col min="3068" max="3068" width="4.33203125" style="52" customWidth="1"/>
    <col min="3069" max="3069" width="0.6640625" style="52" customWidth="1"/>
    <col min="3070" max="3070" width="4.33203125" style="52" customWidth="1"/>
    <col min="3071" max="3071" width="1" style="52" customWidth="1"/>
    <col min="3072" max="3072" width="1.88671875" style="52" customWidth="1"/>
    <col min="3073" max="3073" width="0.6640625" style="52" customWidth="1"/>
    <col min="3074" max="3074" width="4.33203125" style="52" customWidth="1"/>
    <col min="3075" max="3075" width="1" style="52" customWidth="1"/>
    <col min="3076" max="3076" width="1.88671875" style="52" customWidth="1"/>
    <col min="3077" max="3077" width="0.6640625" style="52" customWidth="1"/>
    <col min="3078" max="3078" width="4.33203125" style="52" customWidth="1"/>
    <col min="3079" max="3079" width="1" style="52" customWidth="1"/>
    <col min="3080" max="3080" width="1.88671875" style="52" customWidth="1"/>
    <col min="3081" max="3081" width="0.6640625" style="52" customWidth="1"/>
    <col min="3082" max="3082" width="4.33203125" style="52" customWidth="1"/>
    <col min="3083" max="3083" width="1" style="52" customWidth="1"/>
    <col min="3084" max="3084" width="1.88671875" style="52" customWidth="1"/>
    <col min="3085" max="3085" width="0.6640625" style="52" customWidth="1"/>
    <col min="3086" max="3086" width="4.33203125" style="52" customWidth="1"/>
    <col min="3087" max="3087" width="1.6640625" style="52" customWidth="1"/>
    <col min="3088" max="3088" width="9.5546875" style="52" customWidth="1"/>
    <col min="3089" max="3089" width="0" style="52" hidden="1" customWidth="1"/>
    <col min="3090" max="3090" width="4.6640625" style="52" bestFit="1" customWidth="1"/>
    <col min="3091" max="3092" width="0" style="52" hidden="1" customWidth="1"/>
    <col min="3093" max="3311" width="11.44140625" style="52"/>
    <col min="3312" max="3312" width="3.44140625" style="52" customWidth="1"/>
    <col min="3313" max="3313" width="10.88671875" style="52" customWidth="1"/>
    <col min="3314" max="3314" width="1" style="52" customWidth="1"/>
    <col min="3315" max="3315" width="10.88671875" style="52" customWidth="1"/>
    <col min="3316" max="3316" width="15.33203125" style="52" customWidth="1"/>
    <col min="3317" max="3317" width="4.33203125" style="52" customWidth="1"/>
    <col min="3318" max="3318" width="10" style="52" customWidth="1"/>
    <col min="3319" max="3321" width="10.88671875" style="52" customWidth="1"/>
    <col min="3322" max="3322" width="11.33203125" style="52" customWidth="1"/>
    <col min="3323" max="3323" width="10.44140625" style="52" customWidth="1"/>
    <col min="3324" max="3324" width="4.33203125" style="52" customWidth="1"/>
    <col min="3325" max="3325" width="0.6640625" style="52" customWidth="1"/>
    <col min="3326" max="3326" width="4.33203125" style="52" customWidth="1"/>
    <col min="3327" max="3327" width="1" style="52" customWidth="1"/>
    <col min="3328" max="3328" width="1.88671875" style="52" customWidth="1"/>
    <col min="3329" max="3329" width="0.6640625" style="52" customWidth="1"/>
    <col min="3330" max="3330" width="4.33203125" style="52" customWidth="1"/>
    <col min="3331" max="3331" width="1" style="52" customWidth="1"/>
    <col min="3332" max="3332" width="1.88671875" style="52" customWidth="1"/>
    <col min="3333" max="3333" width="0.6640625" style="52" customWidth="1"/>
    <col min="3334" max="3334" width="4.33203125" style="52" customWidth="1"/>
    <col min="3335" max="3335" width="1" style="52" customWidth="1"/>
    <col min="3336" max="3336" width="1.88671875" style="52" customWidth="1"/>
    <col min="3337" max="3337" width="0.6640625" style="52" customWidth="1"/>
    <col min="3338" max="3338" width="4.33203125" style="52" customWidth="1"/>
    <col min="3339" max="3339" width="1" style="52" customWidth="1"/>
    <col min="3340" max="3340" width="1.88671875" style="52" customWidth="1"/>
    <col min="3341" max="3341" width="0.6640625" style="52" customWidth="1"/>
    <col min="3342" max="3342" width="4.33203125" style="52" customWidth="1"/>
    <col min="3343" max="3343" width="1.6640625" style="52" customWidth="1"/>
    <col min="3344" max="3344" width="9.5546875" style="52" customWidth="1"/>
    <col min="3345" max="3345" width="0" style="52" hidden="1" customWidth="1"/>
    <col min="3346" max="3346" width="4.6640625" style="52" bestFit="1" customWidth="1"/>
    <col min="3347" max="3348" width="0" style="52" hidden="1" customWidth="1"/>
    <col min="3349" max="3567" width="11.44140625" style="52"/>
    <col min="3568" max="3568" width="3.44140625" style="52" customWidth="1"/>
    <col min="3569" max="3569" width="10.88671875" style="52" customWidth="1"/>
    <col min="3570" max="3570" width="1" style="52" customWidth="1"/>
    <col min="3571" max="3571" width="10.88671875" style="52" customWidth="1"/>
    <col min="3572" max="3572" width="15.33203125" style="52" customWidth="1"/>
    <col min="3573" max="3573" width="4.33203125" style="52" customWidth="1"/>
    <col min="3574" max="3574" width="10" style="52" customWidth="1"/>
    <col min="3575" max="3577" width="10.88671875" style="52" customWidth="1"/>
    <col min="3578" max="3578" width="11.33203125" style="52" customWidth="1"/>
    <col min="3579" max="3579" width="10.44140625" style="52" customWidth="1"/>
    <col min="3580" max="3580" width="4.33203125" style="52" customWidth="1"/>
    <col min="3581" max="3581" width="0.6640625" style="52" customWidth="1"/>
    <col min="3582" max="3582" width="4.33203125" style="52" customWidth="1"/>
    <col min="3583" max="3583" width="1" style="52" customWidth="1"/>
    <col min="3584" max="3584" width="1.88671875" style="52" customWidth="1"/>
    <col min="3585" max="3585" width="0.6640625" style="52" customWidth="1"/>
    <col min="3586" max="3586" width="4.33203125" style="52" customWidth="1"/>
    <col min="3587" max="3587" width="1" style="52" customWidth="1"/>
    <col min="3588" max="3588" width="1.88671875" style="52" customWidth="1"/>
    <col min="3589" max="3589" width="0.6640625" style="52" customWidth="1"/>
    <col min="3590" max="3590" width="4.33203125" style="52" customWidth="1"/>
    <col min="3591" max="3591" width="1" style="52" customWidth="1"/>
    <col min="3592" max="3592" width="1.88671875" style="52" customWidth="1"/>
    <col min="3593" max="3593" width="0.6640625" style="52" customWidth="1"/>
    <col min="3594" max="3594" width="4.33203125" style="52" customWidth="1"/>
    <col min="3595" max="3595" width="1" style="52" customWidth="1"/>
    <col min="3596" max="3596" width="1.88671875" style="52" customWidth="1"/>
    <col min="3597" max="3597" width="0.6640625" style="52" customWidth="1"/>
    <col min="3598" max="3598" width="4.33203125" style="52" customWidth="1"/>
    <col min="3599" max="3599" width="1.6640625" style="52" customWidth="1"/>
    <col min="3600" max="3600" width="9.5546875" style="52" customWidth="1"/>
    <col min="3601" max="3601" width="0" style="52" hidden="1" customWidth="1"/>
    <col min="3602" max="3602" width="4.6640625" style="52" bestFit="1" customWidth="1"/>
    <col min="3603" max="3604" width="0" style="52" hidden="1" customWidth="1"/>
    <col min="3605" max="3823" width="11.44140625" style="52"/>
    <col min="3824" max="3824" width="3.44140625" style="52" customWidth="1"/>
    <col min="3825" max="3825" width="10.88671875" style="52" customWidth="1"/>
    <col min="3826" max="3826" width="1" style="52" customWidth="1"/>
    <col min="3827" max="3827" width="10.88671875" style="52" customWidth="1"/>
    <col min="3828" max="3828" width="15.33203125" style="52" customWidth="1"/>
    <col min="3829" max="3829" width="4.33203125" style="52" customWidth="1"/>
    <col min="3830" max="3830" width="10" style="52" customWidth="1"/>
    <col min="3831" max="3833" width="10.88671875" style="52" customWidth="1"/>
    <col min="3834" max="3834" width="11.33203125" style="52" customWidth="1"/>
    <col min="3835" max="3835" width="10.44140625" style="52" customWidth="1"/>
    <col min="3836" max="3836" width="4.33203125" style="52" customWidth="1"/>
    <col min="3837" max="3837" width="0.6640625" style="52" customWidth="1"/>
    <col min="3838" max="3838" width="4.33203125" style="52" customWidth="1"/>
    <col min="3839" max="3839" width="1" style="52" customWidth="1"/>
    <col min="3840" max="3840" width="1.88671875" style="52" customWidth="1"/>
    <col min="3841" max="3841" width="0.6640625" style="52" customWidth="1"/>
    <col min="3842" max="3842" width="4.33203125" style="52" customWidth="1"/>
    <col min="3843" max="3843" width="1" style="52" customWidth="1"/>
    <col min="3844" max="3844" width="1.88671875" style="52" customWidth="1"/>
    <col min="3845" max="3845" width="0.6640625" style="52" customWidth="1"/>
    <col min="3846" max="3846" width="4.33203125" style="52" customWidth="1"/>
    <col min="3847" max="3847" width="1" style="52" customWidth="1"/>
    <col min="3848" max="3848" width="1.88671875" style="52" customWidth="1"/>
    <col min="3849" max="3849" width="0.6640625" style="52" customWidth="1"/>
    <col min="3850" max="3850" width="4.33203125" style="52" customWidth="1"/>
    <col min="3851" max="3851" width="1" style="52" customWidth="1"/>
    <col min="3852" max="3852" width="1.88671875" style="52" customWidth="1"/>
    <col min="3853" max="3853" width="0.6640625" style="52" customWidth="1"/>
    <col min="3854" max="3854" width="4.33203125" style="52" customWidth="1"/>
    <col min="3855" max="3855" width="1.6640625" style="52" customWidth="1"/>
    <col min="3856" max="3856" width="9.5546875" style="52" customWidth="1"/>
    <col min="3857" max="3857" width="0" style="52" hidden="1" customWidth="1"/>
    <col min="3858" max="3858" width="4.6640625" style="52" bestFit="1" customWidth="1"/>
    <col min="3859" max="3860" width="0" style="52" hidden="1" customWidth="1"/>
    <col min="3861" max="4079" width="11.44140625" style="52"/>
    <col min="4080" max="4080" width="3.44140625" style="52" customWidth="1"/>
    <col min="4081" max="4081" width="10.88671875" style="52" customWidth="1"/>
    <col min="4082" max="4082" width="1" style="52" customWidth="1"/>
    <col min="4083" max="4083" width="10.88671875" style="52" customWidth="1"/>
    <col min="4084" max="4084" width="15.33203125" style="52" customWidth="1"/>
    <col min="4085" max="4085" width="4.33203125" style="52" customWidth="1"/>
    <col min="4086" max="4086" width="10" style="52" customWidth="1"/>
    <col min="4087" max="4089" width="10.88671875" style="52" customWidth="1"/>
    <col min="4090" max="4090" width="11.33203125" style="52" customWidth="1"/>
    <col min="4091" max="4091" width="10.44140625" style="52" customWidth="1"/>
    <col min="4092" max="4092" width="4.33203125" style="52" customWidth="1"/>
    <col min="4093" max="4093" width="0.6640625" style="52" customWidth="1"/>
    <col min="4094" max="4094" width="4.33203125" style="52" customWidth="1"/>
    <col min="4095" max="4095" width="1" style="52" customWidth="1"/>
    <col min="4096" max="4096" width="1.88671875" style="52" customWidth="1"/>
    <col min="4097" max="4097" width="0.6640625" style="52" customWidth="1"/>
    <col min="4098" max="4098" width="4.33203125" style="52" customWidth="1"/>
    <col min="4099" max="4099" width="1" style="52" customWidth="1"/>
    <col min="4100" max="4100" width="1.88671875" style="52" customWidth="1"/>
    <col min="4101" max="4101" width="0.6640625" style="52" customWidth="1"/>
    <col min="4102" max="4102" width="4.33203125" style="52" customWidth="1"/>
    <col min="4103" max="4103" width="1" style="52" customWidth="1"/>
    <col min="4104" max="4104" width="1.88671875" style="52" customWidth="1"/>
    <col min="4105" max="4105" width="0.6640625" style="52" customWidth="1"/>
    <col min="4106" max="4106" width="4.33203125" style="52" customWidth="1"/>
    <col min="4107" max="4107" width="1" style="52" customWidth="1"/>
    <col min="4108" max="4108" width="1.88671875" style="52" customWidth="1"/>
    <col min="4109" max="4109" width="0.6640625" style="52" customWidth="1"/>
    <col min="4110" max="4110" width="4.33203125" style="52" customWidth="1"/>
    <col min="4111" max="4111" width="1.6640625" style="52" customWidth="1"/>
    <col min="4112" max="4112" width="9.5546875" style="52" customWidth="1"/>
    <col min="4113" max="4113" width="0" style="52" hidden="1" customWidth="1"/>
    <col min="4114" max="4114" width="4.6640625" style="52" bestFit="1" customWidth="1"/>
    <col min="4115" max="4116" width="0" style="52" hidden="1" customWidth="1"/>
    <col min="4117" max="4335" width="11.44140625" style="52"/>
    <col min="4336" max="4336" width="3.44140625" style="52" customWidth="1"/>
    <col min="4337" max="4337" width="10.88671875" style="52" customWidth="1"/>
    <col min="4338" max="4338" width="1" style="52" customWidth="1"/>
    <col min="4339" max="4339" width="10.88671875" style="52" customWidth="1"/>
    <col min="4340" max="4340" width="15.33203125" style="52" customWidth="1"/>
    <col min="4341" max="4341" width="4.33203125" style="52" customWidth="1"/>
    <col min="4342" max="4342" width="10" style="52" customWidth="1"/>
    <col min="4343" max="4345" width="10.88671875" style="52" customWidth="1"/>
    <col min="4346" max="4346" width="11.33203125" style="52" customWidth="1"/>
    <col min="4347" max="4347" width="10.44140625" style="52" customWidth="1"/>
    <col min="4348" max="4348" width="4.33203125" style="52" customWidth="1"/>
    <col min="4349" max="4349" width="0.6640625" style="52" customWidth="1"/>
    <col min="4350" max="4350" width="4.33203125" style="52" customWidth="1"/>
    <col min="4351" max="4351" width="1" style="52" customWidth="1"/>
    <col min="4352" max="4352" width="1.88671875" style="52" customWidth="1"/>
    <col min="4353" max="4353" width="0.6640625" style="52" customWidth="1"/>
    <col min="4354" max="4354" width="4.33203125" style="52" customWidth="1"/>
    <col min="4355" max="4355" width="1" style="52" customWidth="1"/>
    <col min="4356" max="4356" width="1.88671875" style="52" customWidth="1"/>
    <col min="4357" max="4357" width="0.6640625" style="52" customWidth="1"/>
    <col min="4358" max="4358" width="4.33203125" style="52" customWidth="1"/>
    <col min="4359" max="4359" width="1" style="52" customWidth="1"/>
    <col min="4360" max="4360" width="1.88671875" style="52" customWidth="1"/>
    <col min="4361" max="4361" width="0.6640625" style="52" customWidth="1"/>
    <col min="4362" max="4362" width="4.33203125" style="52" customWidth="1"/>
    <col min="4363" max="4363" width="1" style="52" customWidth="1"/>
    <col min="4364" max="4364" width="1.88671875" style="52" customWidth="1"/>
    <col min="4365" max="4365" width="0.6640625" style="52" customWidth="1"/>
    <col min="4366" max="4366" width="4.33203125" style="52" customWidth="1"/>
    <col min="4367" max="4367" width="1.6640625" style="52" customWidth="1"/>
    <col min="4368" max="4368" width="9.5546875" style="52" customWidth="1"/>
    <col min="4369" max="4369" width="0" style="52" hidden="1" customWidth="1"/>
    <col min="4370" max="4370" width="4.6640625" style="52" bestFit="1" customWidth="1"/>
    <col min="4371" max="4372" width="0" style="52" hidden="1" customWidth="1"/>
    <col min="4373" max="4591" width="11.44140625" style="52"/>
    <col min="4592" max="4592" width="3.44140625" style="52" customWidth="1"/>
    <col min="4593" max="4593" width="10.88671875" style="52" customWidth="1"/>
    <col min="4594" max="4594" width="1" style="52" customWidth="1"/>
    <col min="4595" max="4595" width="10.88671875" style="52" customWidth="1"/>
    <col min="4596" max="4596" width="15.33203125" style="52" customWidth="1"/>
    <col min="4597" max="4597" width="4.33203125" style="52" customWidth="1"/>
    <col min="4598" max="4598" width="10" style="52" customWidth="1"/>
    <col min="4599" max="4601" width="10.88671875" style="52" customWidth="1"/>
    <col min="4602" max="4602" width="11.33203125" style="52" customWidth="1"/>
    <col min="4603" max="4603" width="10.44140625" style="52" customWidth="1"/>
    <col min="4604" max="4604" width="4.33203125" style="52" customWidth="1"/>
    <col min="4605" max="4605" width="0.6640625" style="52" customWidth="1"/>
    <col min="4606" max="4606" width="4.33203125" style="52" customWidth="1"/>
    <col min="4607" max="4607" width="1" style="52" customWidth="1"/>
    <col min="4608" max="4608" width="1.88671875" style="52" customWidth="1"/>
    <col min="4609" max="4609" width="0.6640625" style="52" customWidth="1"/>
    <col min="4610" max="4610" width="4.33203125" style="52" customWidth="1"/>
    <col min="4611" max="4611" width="1" style="52" customWidth="1"/>
    <col min="4612" max="4612" width="1.88671875" style="52" customWidth="1"/>
    <col min="4613" max="4613" width="0.6640625" style="52" customWidth="1"/>
    <col min="4614" max="4614" width="4.33203125" style="52" customWidth="1"/>
    <col min="4615" max="4615" width="1" style="52" customWidth="1"/>
    <col min="4616" max="4616" width="1.88671875" style="52" customWidth="1"/>
    <col min="4617" max="4617" width="0.6640625" style="52" customWidth="1"/>
    <col min="4618" max="4618" width="4.33203125" style="52" customWidth="1"/>
    <col min="4619" max="4619" width="1" style="52" customWidth="1"/>
    <col min="4620" max="4620" width="1.88671875" style="52" customWidth="1"/>
    <col min="4621" max="4621" width="0.6640625" style="52" customWidth="1"/>
    <col min="4622" max="4622" width="4.33203125" style="52" customWidth="1"/>
    <col min="4623" max="4623" width="1.6640625" style="52" customWidth="1"/>
    <col min="4624" max="4624" width="9.5546875" style="52" customWidth="1"/>
    <col min="4625" max="4625" width="0" style="52" hidden="1" customWidth="1"/>
    <col min="4626" max="4626" width="4.6640625" style="52" bestFit="1" customWidth="1"/>
    <col min="4627" max="4628" width="0" style="52" hidden="1" customWidth="1"/>
    <col min="4629" max="4847" width="11.44140625" style="52"/>
    <col min="4848" max="4848" width="3.44140625" style="52" customWidth="1"/>
    <col min="4849" max="4849" width="10.88671875" style="52" customWidth="1"/>
    <col min="4850" max="4850" width="1" style="52" customWidth="1"/>
    <col min="4851" max="4851" width="10.88671875" style="52" customWidth="1"/>
    <col min="4852" max="4852" width="15.33203125" style="52" customWidth="1"/>
    <col min="4853" max="4853" width="4.33203125" style="52" customWidth="1"/>
    <col min="4854" max="4854" width="10" style="52" customWidth="1"/>
    <col min="4855" max="4857" width="10.88671875" style="52" customWidth="1"/>
    <col min="4858" max="4858" width="11.33203125" style="52" customWidth="1"/>
    <col min="4859" max="4859" width="10.44140625" style="52" customWidth="1"/>
    <col min="4860" max="4860" width="4.33203125" style="52" customWidth="1"/>
    <col min="4861" max="4861" width="0.6640625" style="52" customWidth="1"/>
    <col min="4862" max="4862" width="4.33203125" style="52" customWidth="1"/>
    <col min="4863" max="4863" width="1" style="52" customWidth="1"/>
    <col min="4864" max="4864" width="1.88671875" style="52" customWidth="1"/>
    <col min="4865" max="4865" width="0.6640625" style="52" customWidth="1"/>
    <col min="4866" max="4866" width="4.33203125" style="52" customWidth="1"/>
    <col min="4867" max="4867" width="1" style="52" customWidth="1"/>
    <col min="4868" max="4868" width="1.88671875" style="52" customWidth="1"/>
    <col min="4869" max="4869" width="0.6640625" style="52" customWidth="1"/>
    <col min="4870" max="4870" width="4.33203125" style="52" customWidth="1"/>
    <col min="4871" max="4871" width="1" style="52" customWidth="1"/>
    <col min="4872" max="4872" width="1.88671875" style="52" customWidth="1"/>
    <col min="4873" max="4873" width="0.6640625" style="52" customWidth="1"/>
    <col min="4874" max="4874" width="4.33203125" style="52" customWidth="1"/>
    <col min="4875" max="4875" width="1" style="52" customWidth="1"/>
    <col min="4876" max="4876" width="1.88671875" style="52" customWidth="1"/>
    <col min="4877" max="4877" width="0.6640625" style="52" customWidth="1"/>
    <col min="4878" max="4878" width="4.33203125" style="52" customWidth="1"/>
    <col min="4879" max="4879" width="1.6640625" style="52" customWidth="1"/>
    <col min="4880" max="4880" width="9.5546875" style="52" customWidth="1"/>
    <col min="4881" max="4881" width="0" style="52" hidden="1" customWidth="1"/>
    <col min="4882" max="4882" width="4.6640625" style="52" bestFit="1" customWidth="1"/>
    <col min="4883" max="4884" width="0" style="52" hidden="1" customWidth="1"/>
    <col min="4885" max="5103" width="11.44140625" style="52"/>
    <col min="5104" max="5104" width="3.44140625" style="52" customWidth="1"/>
    <col min="5105" max="5105" width="10.88671875" style="52" customWidth="1"/>
    <col min="5106" max="5106" width="1" style="52" customWidth="1"/>
    <col min="5107" max="5107" width="10.88671875" style="52" customWidth="1"/>
    <col min="5108" max="5108" width="15.33203125" style="52" customWidth="1"/>
    <col min="5109" max="5109" width="4.33203125" style="52" customWidth="1"/>
    <col min="5110" max="5110" width="10" style="52" customWidth="1"/>
    <col min="5111" max="5113" width="10.88671875" style="52" customWidth="1"/>
    <col min="5114" max="5114" width="11.33203125" style="52" customWidth="1"/>
    <col min="5115" max="5115" width="10.44140625" style="52" customWidth="1"/>
    <col min="5116" max="5116" width="4.33203125" style="52" customWidth="1"/>
    <col min="5117" max="5117" width="0.6640625" style="52" customWidth="1"/>
    <col min="5118" max="5118" width="4.33203125" style="52" customWidth="1"/>
    <col min="5119" max="5119" width="1" style="52" customWidth="1"/>
    <col min="5120" max="5120" width="1.88671875" style="52" customWidth="1"/>
    <col min="5121" max="5121" width="0.6640625" style="52" customWidth="1"/>
    <col min="5122" max="5122" width="4.33203125" style="52" customWidth="1"/>
    <col min="5123" max="5123" width="1" style="52" customWidth="1"/>
    <col min="5124" max="5124" width="1.88671875" style="52" customWidth="1"/>
    <col min="5125" max="5125" width="0.6640625" style="52" customWidth="1"/>
    <col min="5126" max="5126" width="4.33203125" style="52" customWidth="1"/>
    <col min="5127" max="5127" width="1" style="52" customWidth="1"/>
    <col min="5128" max="5128" width="1.88671875" style="52" customWidth="1"/>
    <col min="5129" max="5129" width="0.6640625" style="52" customWidth="1"/>
    <col min="5130" max="5130" width="4.33203125" style="52" customWidth="1"/>
    <col min="5131" max="5131" width="1" style="52" customWidth="1"/>
    <col min="5132" max="5132" width="1.88671875" style="52" customWidth="1"/>
    <col min="5133" max="5133" width="0.6640625" style="52" customWidth="1"/>
    <col min="5134" max="5134" width="4.33203125" style="52" customWidth="1"/>
    <col min="5135" max="5135" width="1.6640625" style="52" customWidth="1"/>
    <col min="5136" max="5136" width="9.5546875" style="52" customWidth="1"/>
    <col min="5137" max="5137" width="0" style="52" hidden="1" customWidth="1"/>
    <col min="5138" max="5138" width="4.6640625" style="52" bestFit="1" customWidth="1"/>
    <col min="5139" max="5140" width="0" style="52" hidden="1" customWidth="1"/>
    <col min="5141" max="5359" width="11.44140625" style="52"/>
    <col min="5360" max="5360" width="3.44140625" style="52" customWidth="1"/>
    <col min="5361" max="5361" width="10.88671875" style="52" customWidth="1"/>
    <col min="5362" max="5362" width="1" style="52" customWidth="1"/>
    <col min="5363" max="5363" width="10.88671875" style="52" customWidth="1"/>
    <col min="5364" max="5364" width="15.33203125" style="52" customWidth="1"/>
    <col min="5365" max="5365" width="4.33203125" style="52" customWidth="1"/>
    <col min="5366" max="5366" width="10" style="52" customWidth="1"/>
    <col min="5367" max="5369" width="10.88671875" style="52" customWidth="1"/>
    <col min="5370" max="5370" width="11.33203125" style="52" customWidth="1"/>
    <col min="5371" max="5371" width="10.44140625" style="52" customWidth="1"/>
    <col min="5372" max="5372" width="4.33203125" style="52" customWidth="1"/>
    <col min="5373" max="5373" width="0.6640625" style="52" customWidth="1"/>
    <col min="5374" max="5374" width="4.33203125" style="52" customWidth="1"/>
    <col min="5375" max="5375" width="1" style="52" customWidth="1"/>
    <col min="5376" max="5376" width="1.88671875" style="52" customWidth="1"/>
    <col min="5377" max="5377" width="0.6640625" style="52" customWidth="1"/>
    <col min="5378" max="5378" width="4.33203125" style="52" customWidth="1"/>
    <col min="5379" max="5379" width="1" style="52" customWidth="1"/>
    <col min="5380" max="5380" width="1.88671875" style="52" customWidth="1"/>
    <col min="5381" max="5381" width="0.6640625" style="52" customWidth="1"/>
    <col min="5382" max="5382" width="4.33203125" style="52" customWidth="1"/>
    <col min="5383" max="5383" width="1" style="52" customWidth="1"/>
    <col min="5384" max="5384" width="1.88671875" style="52" customWidth="1"/>
    <col min="5385" max="5385" width="0.6640625" style="52" customWidth="1"/>
    <col min="5386" max="5386" width="4.33203125" style="52" customWidth="1"/>
    <col min="5387" max="5387" width="1" style="52" customWidth="1"/>
    <col min="5388" max="5388" width="1.88671875" style="52" customWidth="1"/>
    <col min="5389" max="5389" width="0.6640625" style="52" customWidth="1"/>
    <col min="5390" max="5390" width="4.33203125" style="52" customWidth="1"/>
    <col min="5391" max="5391" width="1.6640625" style="52" customWidth="1"/>
    <col min="5392" max="5392" width="9.5546875" style="52" customWidth="1"/>
    <col min="5393" max="5393" width="0" style="52" hidden="1" customWidth="1"/>
    <col min="5394" max="5394" width="4.6640625" style="52" bestFit="1" customWidth="1"/>
    <col min="5395" max="5396" width="0" style="52" hidden="1" customWidth="1"/>
    <col min="5397" max="5615" width="11.44140625" style="52"/>
    <col min="5616" max="5616" width="3.44140625" style="52" customWidth="1"/>
    <col min="5617" max="5617" width="10.88671875" style="52" customWidth="1"/>
    <col min="5618" max="5618" width="1" style="52" customWidth="1"/>
    <col min="5619" max="5619" width="10.88671875" style="52" customWidth="1"/>
    <col min="5620" max="5620" width="15.33203125" style="52" customWidth="1"/>
    <col min="5621" max="5621" width="4.33203125" style="52" customWidth="1"/>
    <col min="5622" max="5622" width="10" style="52" customWidth="1"/>
    <col min="5623" max="5625" width="10.88671875" style="52" customWidth="1"/>
    <col min="5626" max="5626" width="11.33203125" style="52" customWidth="1"/>
    <col min="5627" max="5627" width="10.44140625" style="52" customWidth="1"/>
    <col min="5628" max="5628" width="4.33203125" style="52" customWidth="1"/>
    <col min="5629" max="5629" width="0.6640625" style="52" customWidth="1"/>
    <col min="5630" max="5630" width="4.33203125" style="52" customWidth="1"/>
    <col min="5631" max="5631" width="1" style="52" customWidth="1"/>
    <col min="5632" max="5632" width="1.88671875" style="52" customWidth="1"/>
    <col min="5633" max="5633" width="0.6640625" style="52" customWidth="1"/>
    <col min="5634" max="5634" width="4.33203125" style="52" customWidth="1"/>
    <col min="5635" max="5635" width="1" style="52" customWidth="1"/>
    <col min="5636" max="5636" width="1.88671875" style="52" customWidth="1"/>
    <col min="5637" max="5637" width="0.6640625" style="52" customWidth="1"/>
    <col min="5638" max="5638" width="4.33203125" style="52" customWidth="1"/>
    <col min="5639" max="5639" width="1" style="52" customWidth="1"/>
    <col min="5640" max="5640" width="1.88671875" style="52" customWidth="1"/>
    <col min="5641" max="5641" width="0.6640625" style="52" customWidth="1"/>
    <col min="5642" max="5642" width="4.33203125" style="52" customWidth="1"/>
    <col min="5643" max="5643" width="1" style="52" customWidth="1"/>
    <col min="5644" max="5644" width="1.88671875" style="52" customWidth="1"/>
    <col min="5645" max="5645" width="0.6640625" style="52" customWidth="1"/>
    <col min="5646" max="5646" width="4.33203125" style="52" customWidth="1"/>
    <col min="5647" max="5647" width="1.6640625" style="52" customWidth="1"/>
    <col min="5648" max="5648" width="9.5546875" style="52" customWidth="1"/>
    <col min="5649" max="5649" width="0" style="52" hidden="1" customWidth="1"/>
    <col min="5650" max="5650" width="4.6640625" style="52" bestFit="1" customWidth="1"/>
    <col min="5651" max="5652" width="0" style="52" hidden="1" customWidth="1"/>
    <col min="5653" max="5871" width="11.44140625" style="52"/>
    <col min="5872" max="5872" width="3.44140625" style="52" customWidth="1"/>
    <col min="5873" max="5873" width="10.88671875" style="52" customWidth="1"/>
    <col min="5874" max="5874" width="1" style="52" customWidth="1"/>
    <col min="5875" max="5875" width="10.88671875" style="52" customWidth="1"/>
    <col min="5876" max="5876" width="15.33203125" style="52" customWidth="1"/>
    <col min="5877" max="5877" width="4.33203125" style="52" customWidth="1"/>
    <col min="5878" max="5878" width="10" style="52" customWidth="1"/>
    <col min="5879" max="5881" width="10.88671875" style="52" customWidth="1"/>
    <col min="5882" max="5882" width="11.33203125" style="52" customWidth="1"/>
    <col min="5883" max="5883" width="10.44140625" style="52" customWidth="1"/>
    <col min="5884" max="5884" width="4.33203125" style="52" customWidth="1"/>
    <col min="5885" max="5885" width="0.6640625" style="52" customWidth="1"/>
    <col min="5886" max="5886" width="4.33203125" style="52" customWidth="1"/>
    <col min="5887" max="5887" width="1" style="52" customWidth="1"/>
    <col min="5888" max="5888" width="1.88671875" style="52" customWidth="1"/>
    <col min="5889" max="5889" width="0.6640625" style="52" customWidth="1"/>
    <col min="5890" max="5890" width="4.33203125" style="52" customWidth="1"/>
    <col min="5891" max="5891" width="1" style="52" customWidth="1"/>
    <col min="5892" max="5892" width="1.88671875" style="52" customWidth="1"/>
    <col min="5893" max="5893" width="0.6640625" style="52" customWidth="1"/>
    <col min="5894" max="5894" width="4.33203125" style="52" customWidth="1"/>
    <col min="5895" max="5895" width="1" style="52" customWidth="1"/>
    <col min="5896" max="5896" width="1.88671875" style="52" customWidth="1"/>
    <col min="5897" max="5897" width="0.6640625" style="52" customWidth="1"/>
    <col min="5898" max="5898" width="4.33203125" style="52" customWidth="1"/>
    <col min="5899" max="5899" width="1" style="52" customWidth="1"/>
    <col min="5900" max="5900" width="1.88671875" style="52" customWidth="1"/>
    <col min="5901" max="5901" width="0.6640625" style="52" customWidth="1"/>
    <col min="5902" max="5902" width="4.33203125" style="52" customWidth="1"/>
    <col min="5903" max="5903" width="1.6640625" style="52" customWidth="1"/>
    <col min="5904" max="5904" width="9.5546875" style="52" customWidth="1"/>
    <col min="5905" max="5905" width="0" style="52" hidden="1" customWidth="1"/>
    <col min="5906" max="5906" width="4.6640625" style="52" bestFit="1" customWidth="1"/>
    <col min="5907" max="5908" width="0" style="52" hidden="1" customWidth="1"/>
    <col min="5909" max="6127" width="11.44140625" style="52"/>
    <col min="6128" max="6128" width="3.44140625" style="52" customWidth="1"/>
    <col min="6129" max="6129" width="10.88671875" style="52" customWidth="1"/>
    <col min="6130" max="6130" width="1" style="52" customWidth="1"/>
    <col min="6131" max="6131" width="10.88671875" style="52" customWidth="1"/>
    <col min="6132" max="6132" width="15.33203125" style="52" customWidth="1"/>
    <col min="6133" max="6133" width="4.33203125" style="52" customWidth="1"/>
    <col min="6134" max="6134" width="10" style="52" customWidth="1"/>
    <col min="6135" max="6137" width="10.88671875" style="52" customWidth="1"/>
    <col min="6138" max="6138" width="11.33203125" style="52" customWidth="1"/>
    <col min="6139" max="6139" width="10.44140625" style="52" customWidth="1"/>
    <col min="6140" max="6140" width="4.33203125" style="52" customWidth="1"/>
    <col min="6141" max="6141" width="0.6640625" style="52" customWidth="1"/>
    <col min="6142" max="6142" width="4.33203125" style="52" customWidth="1"/>
    <col min="6143" max="6143" width="1" style="52" customWidth="1"/>
    <col min="6144" max="6144" width="1.88671875" style="52" customWidth="1"/>
    <col min="6145" max="6145" width="0.6640625" style="52" customWidth="1"/>
    <col min="6146" max="6146" width="4.33203125" style="52" customWidth="1"/>
    <col min="6147" max="6147" width="1" style="52" customWidth="1"/>
    <col min="6148" max="6148" width="1.88671875" style="52" customWidth="1"/>
    <col min="6149" max="6149" width="0.6640625" style="52" customWidth="1"/>
    <col min="6150" max="6150" width="4.33203125" style="52" customWidth="1"/>
    <col min="6151" max="6151" width="1" style="52" customWidth="1"/>
    <col min="6152" max="6152" width="1.88671875" style="52" customWidth="1"/>
    <col min="6153" max="6153" width="0.6640625" style="52" customWidth="1"/>
    <col min="6154" max="6154" width="4.33203125" style="52" customWidth="1"/>
    <col min="6155" max="6155" width="1" style="52" customWidth="1"/>
    <col min="6156" max="6156" width="1.88671875" style="52" customWidth="1"/>
    <col min="6157" max="6157" width="0.6640625" style="52" customWidth="1"/>
    <col min="6158" max="6158" width="4.33203125" style="52" customWidth="1"/>
    <col min="6159" max="6159" width="1.6640625" style="52" customWidth="1"/>
    <col min="6160" max="6160" width="9.5546875" style="52" customWidth="1"/>
    <col min="6161" max="6161" width="0" style="52" hidden="1" customWidth="1"/>
    <col min="6162" max="6162" width="4.6640625" style="52" bestFit="1" customWidth="1"/>
    <col min="6163" max="6164" width="0" style="52" hidden="1" customWidth="1"/>
    <col min="6165" max="6383" width="11.44140625" style="52"/>
    <col min="6384" max="6384" width="3.44140625" style="52" customWidth="1"/>
    <col min="6385" max="6385" width="10.88671875" style="52" customWidth="1"/>
    <col min="6386" max="6386" width="1" style="52" customWidth="1"/>
    <col min="6387" max="6387" width="10.88671875" style="52" customWidth="1"/>
    <col min="6388" max="6388" width="15.33203125" style="52" customWidth="1"/>
    <col min="6389" max="6389" width="4.33203125" style="52" customWidth="1"/>
    <col min="6390" max="6390" width="10" style="52" customWidth="1"/>
    <col min="6391" max="6393" width="10.88671875" style="52" customWidth="1"/>
    <col min="6394" max="6394" width="11.33203125" style="52" customWidth="1"/>
    <col min="6395" max="6395" width="10.44140625" style="52" customWidth="1"/>
    <col min="6396" max="6396" width="4.33203125" style="52" customWidth="1"/>
    <col min="6397" max="6397" width="0.6640625" style="52" customWidth="1"/>
    <col min="6398" max="6398" width="4.33203125" style="52" customWidth="1"/>
    <col min="6399" max="6399" width="1" style="52" customWidth="1"/>
    <col min="6400" max="6400" width="1.88671875" style="52" customWidth="1"/>
    <col min="6401" max="6401" width="0.6640625" style="52" customWidth="1"/>
    <col min="6402" max="6402" width="4.33203125" style="52" customWidth="1"/>
    <col min="6403" max="6403" width="1" style="52" customWidth="1"/>
    <col min="6404" max="6404" width="1.88671875" style="52" customWidth="1"/>
    <col min="6405" max="6405" width="0.6640625" style="52" customWidth="1"/>
    <col min="6406" max="6406" width="4.33203125" style="52" customWidth="1"/>
    <col min="6407" max="6407" width="1" style="52" customWidth="1"/>
    <col min="6408" max="6408" width="1.88671875" style="52" customWidth="1"/>
    <col min="6409" max="6409" width="0.6640625" style="52" customWidth="1"/>
    <col min="6410" max="6410" width="4.33203125" style="52" customWidth="1"/>
    <col min="6411" max="6411" width="1" style="52" customWidth="1"/>
    <col min="6412" max="6412" width="1.88671875" style="52" customWidth="1"/>
    <col min="6413" max="6413" width="0.6640625" style="52" customWidth="1"/>
    <col min="6414" max="6414" width="4.33203125" style="52" customWidth="1"/>
    <col min="6415" max="6415" width="1.6640625" style="52" customWidth="1"/>
    <col min="6416" max="6416" width="9.5546875" style="52" customWidth="1"/>
    <col min="6417" max="6417" width="0" style="52" hidden="1" customWidth="1"/>
    <col min="6418" max="6418" width="4.6640625" style="52" bestFit="1" customWidth="1"/>
    <col min="6419" max="6420" width="0" style="52" hidden="1" customWidth="1"/>
    <col min="6421" max="6639" width="11.44140625" style="52"/>
    <col min="6640" max="6640" width="3.44140625" style="52" customWidth="1"/>
    <col min="6641" max="6641" width="10.88671875" style="52" customWidth="1"/>
    <col min="6642" max="6642" width="1" style="52" customWidth="1"/>
    <col min="6643" max="6643" width="10.88671875" style="52" customWidth="1"/>
    <col min="6644" max="6644" width="15.33203125" style="52" customWidth="1"/>
    <col min="6645" max="6645" width="4.33203125" style="52" customWidth="1"/>
    <col min="6646" max="6646" width="10" style="52" customWidth="1"/>
    <col min="6647" max="6649" width="10.88671875" style="52" customWidth="1"/>
    <col min="6650" max="6650" width="11.33203125" style="52" customWidth="1"/>
    <col min="6651" max="6651" width="10.44140625" style="52" customWidth="1"/>
    <col min="6652" max="6652" width="4.33203125" style="52" customWidth="1"/>
    <col min="6653" max="6653" width="0.6640625" style="52" customWidth="1"/>
    <col min="6654" max="6654" width="4.33203125" style="52" customWidth="1"/>
    <col min="6655" max="6655" width="1" style="52" customWidth="1"/>
    <col min="6656" max="6656" width="1.88671875" style="52" customWidth="1"/>
    <col min="6657" max="6657" width="0.6640625" style="52" customWidth="1"/>
    <col min="6658" max="6658" width="4.33203125" style="52" customWidth="1"/>
    <col min="6659" max="6659" width="1" style="52" customWidth="1"/>
    <col min="6660" max="6660" width="1.88671875" style="52" customWidth="1"/>
    <col min="6661" max="6661" width="0.6640625" style="52" customWidth="1"/>
    <col min="6662" max="6662" width="4.33203125" style="52" customWidth="1"/>
    <col min="6663" max="6663" width="1" style="52" customWidth="1"/>
    <col min="6664" max="6664" width="1.88671875" style="52" customWidth="1"/>
    <col min="6665" max="6665" width="0.6640625" style="52" customWidth="1"/>
    <col min="6666" max="6666" width="4.33203125" style="52" customWidth="1"/>
    <col min="6667" max="6667" width="1" style="52" customWidth="1"/>
    <col min="6668" max="6668" width="1.88671875" style="52" customWidth="1"/>
    <col min="6669" max="6669" width="0.6640625" style="52" customWidth="1"/>
    <col min="6670" max="6670" width="4.33203125" style="52" customWidth="1"/>
    <col min="6671" max="6671" width="1.6640625" style="52" customWidth="1"/>
    <col min="6672" max="6672" width="9.5546875" style="52" customWidth="1"/>
    <col min="6673" max="6673" width="0" style="52" hidden="1" customWidth="1"/>
    <col min="6674" max="6674" width="4.6640625" style="52" bestFit="1" customWidth="1"/>
    <col min="6675" max="6676" width="0" style="52" hidden="1" customWidth="1"/>
    <col min="6677" max="6895" width="11.44140625" style="52"/>
    <col min="6896" max="6896" width="3.44140625" style="52" customWidth="1"/>
    <col min="6897" max="6897" width="10.88671875" style="52" customWidth="1"/>
    <col min="6898" max="6898" width="1" style="52" customWidth="1"/>
    <col min="6899" max="6899" width="10.88671875" style="52" customWidth="1"/>
    <col min="6900" max="6900" width="15.33203125" style="52" customWidth="1"/>
    <col min="6901" max="6901" width="4.33203125" style="52" customWidth="1"/>
    <col min="6902" max="6902" width="10" style="52" customWidth="1"/>
    <col min="6903" max="6905" width="10.88671875" style="52" customWidth="1"/>
    <col min="6906" max="6906" width="11.33203125" style="52" customWidth="1"/>
    <col min="6907" max="6907" width="10.44140625" style="52" customWidth="1"/>
    <col min="6908" max="6908" width="4.33203125" style="52" customWidth="1"/>
    <col min="6909" max="6909" width="0.6640625" style="52" customWidth="1"/>
    <col min="6910" max="6910" width="4.33203125" style="52" customWidth="1"/>
    <col min="6911" max="6911" width="1" style="52" customWidth="1"/>
    <col min="6912" max="6912" width="1.88671875" style="52" customWidth="1"/>
    <col min="6913" max="6913" width="0.6640625" style="52" customWidth="1"/>
    <col min="6914" max="6914" width="4.33203125" style="52" customWidth="1"/>
    <col min="6915" max="6915" width="1" style="52" customWidth="1"/>
    <col min="6916" max="6916" width="1.88671875" style="52" customWidth="1"/>
    <col min="6917" max="6917" width="0.6640625" style="52" customWidth="1"/>
    <col min="6918" max="6918" width="4.33203125" style="52" customWidth="1"/>
    <col min="6919" max="6919" width="1" style="52" customWidth="1"/>
    <col min="6920" max="6920" width="1.88671875" style="52" customWidth="1"/>
    <col min="6921" max="6921" width="0.6640625" style="52" customWidth="1"/>
    <col min="6922" max="6922" width="4.33203125" style="52" customWidth="1"/>
    <col min="6923" max="6923" width="1" style="52" customWidth="1"/>
    <col min="6924" max="6924" width="1.88671875" style="52" customWidth="1"/>
    <col min="6925" max="6925" width="0.6640625" style="52" customWidth="1"/>
    <col min="6926" max="6926" width="4.33203125" style="52" customWidth="1"/>
    <col min="6927" max="6927" width="1.6640625" style="52" customWidth="1"/>
    <col min="6928" max="6928" width="9.5546875" style="52" customWidth="1"/>
    <col min="6929" max="6929" width="0" style="52" hidden="1" customWidth="1"/>
    <col min="6930" max="6930" width="4.6640625" style="52" bestFit="1" customWidth="1"/>
    <col min="6931" max="6932" width="0" style="52" hidden="1" customWidth="1"/>
    <col min="6933" max="7151" width="11.44140625" style="52"/>
    <col min="7152" max="7152" width="3.44140625" style="52" customWidth="1"/>
    <col min="7153" max="7153" width="10.88671875" style="52" customWidth="1"/>
    <col min="7154" max="7154" width="1" style="52" customWidth="1"/>
    <col min="7155" max="7155" width="10.88671875" style="52" customWidth="1"/>
    <col min="7156" max="7156" width="15.33203125" style="52" customWidth="1"/>
    <col min="7157" max="7157" width="4.33203125" style="52" customWidth="1"/>
    <col min="7158" max="7158" width="10" style="52" customWidth="1"/>
    <col min="7159" max="7161" width="10.88671875" style="52" customWidth="1"/>
    <col min="7162" max="7162" width="11.33203125" style="52" customWidth="1"/>
    <col min="7163" max="7163" width="10.44140625" style="52" customWidth="1"/>
    <col min="7164" max="7164" width="4.33203125" style="52" customWidth="1"/>
    <col min="7165" max="7165" width="0.6640625" style="52" customWidth="1"/>
    <col min="7166" max="7166" width="4.33203125" style="52" customWidth="1"/>
    <col min="7167" max="7167" width="1" style="52" customWidth="1"/>
    <col min="7168" max="7168" width="1.88671875" style="52" customWidth="1"/>
    <col min="7169" max="7169" width="0.6640625" style="52" customWidth="1"/>
    <col min="7170" max="7170" width="4.33203125" style="52" customWidth="1"/>
    <col min="7171" max="7171" width="1" style="52" customWidth="1"/>
    <col min="7172" max="7172" width="1.88671875" style="52" customWidth="1"/>
    <col min="7173" max="7173" width="0.6640625" style="52" customWidth="1"/>
    <col min="7174" max="7174" width="4.33203125" style="52" customWidth="1"/>
    <col min="7175" max="7175" width="1" style="52" customWidth="1"/>
    <col min="7176" max="7176" width="1.88671875" style="52" customWidth="1"/>
    <col min="7177" max="7177" width="0.6640625" style="52" customWidth="1"/>
    <col min="7178" max="7178" width="4.33203125" style="52" customWidth="1"/>
    <col min="7179" max="7179" width="1" style="52" customWidth="1"/>
    <col min="7180" max="7180" width="1.88671875" style="52" customWidth="1"/>
    <col min="7181" max="7181" width="0.6640625" style="52" customWidth="1"/>
    <col min="7182" max="7182" width="4.33203125" style="52" customWidth="1"/>
    <col min="7183" max="7183" width="1.6640625" style="52" customWidth="1"/>
    <col min="7184" max="7184" width="9.5546875" style="52" customWidth="1"/>
    <col min="7185" max="7185" width="0" style="52" hidden="1" customWidth="1"/>
    <col min="7186" max="7186" width="4.6640625" style="52" bestFit="1" customWidth="1"/>
    <col min="7187" max="7188" width="0" style="52" hidden="1" customWidth="1"/>
    <col min="7189" max="7407" width="11.44140625" style="52"/>
    <col min="7408" max="7408" width="3.44140625" style="52" customWidth="1"/>
    <col min="7409" max="7409" width="10.88671875" style="52" customWidth="1"/>
    <col min="7410" max="7410" width="1" style="52" customWidth="1"/>
    <col min="7411" max="7411" width="10.88671875" style="52" customWidth="1"/>
    <col min="7412" max="7412" width="15.33203125" style="52" customWidth="1"/>
    <col min="7413" max="7413" width="4.33203125" style="52" customWidth="1"/>
    <col min="7414" max="7414" width="10" style="52" customWidth="1"/>
    <col min="7415" max="7417" width="10.88671875" style="52" customWidth="1"/>
    <col min="7418" max="7418" width="11.33203125" style="52" customWidth="1"/>
    <col min="7419" max="7419" width="10.44140625" style="52" customWidth="1"/>
    <col min="7420" max="7420" width="4.33203125" style="52" customWidth="1"/>
    <col min="7421" max="7421" width="0.6640625" style="52" customWidth="1"/>
    <col min="7422" max="7422" width="4.33203125" style="52" customWidth="1"/>
    <col min="7423" max="7423" width="1" style="52" customWidth="1"/>
    <col min="7424" max="7424" width="1.88671875" style="52" customWidth="1"/>
    <col min="7425" max="7425" width="0.6640625" style="52" customWidth="1"/>
    <col min="7426" max="7426" width="4.33203125" style="52" customWidth="1"/>
    <col min="7427" max="7427" width="1" style="52" customWidth="1"/>
    <col min="7428" max="7428" width="1.88671875" style="52" customWidth="1"/>
    <col min="7429" max="7429" width="0.6640625" style="52" customWidth="1"/>
    <col min="7430" max="7430" width="4.33203125" style="52" customWidth="1"/>
    <col min="7431" max="7431" width="1" style="52" customWidth="1"/>
    <col min="7432" max="7432" width="1.88671875" style="52" customWidth="1"/>
    <col min="7433" max="7433" width="0.6640625" style="52" customWidth="1"/>
    <col min="7434" max="7434" width="4.33203125" style="52" customWidth="1"/>
    <col min="7435" max="7435" width="1" style="52" customWidth="1"/>
    <col min="7436" max="7436" width="1.88671875" style="52" customWidth="1"/>
    <col min="7437" max="7437" width="0.6640625" style="52" customWidth="1"/>
    <col min="7438" max="7438" width="4.33203125" style="52" customWidth="1"/>
    <col min="7439" max="7439" width="1.6640625" style="52" customWidth="1"/>
    <col min="7440" max="7440" width="9.5546875" style="52" customWidth="1"/>
    <col min="7441" max="7441" width="0" style="52" hidden="1" customWidth="1"/>
    <col min="7442" max="7442" width="4.6640625" style="52" bestFit="1" customWidth="1"/>
    <col min="7443" max="7444" width="0" style="52" hidden="1" customWidth="1"/>
    <col min="7445" max="7663" width="11.44140625" style="52"/>
    <col min="7664" max="7664" width="3.44140625" style="52" customWidth="1"/>
    <col min="7665" max="7665" width="10.88671875" style="52" customWidth="1"/>
    <col min="7666" max="7666" width="1" style="52" customWidth="1"/>
    <col min="7667" max="7667" width="10.88671875" style="52" customWidth="1"/>
    <col min="7668" max="7668" width="15.33203125" style="52" customWidth="1"/>
    <col min="7669" max="7669" width="4.33203125" style="52" customWidth="1"/>
    <col min="7670" max="7670" width="10" style="52" customWidth="1"/>
    <col min="7671" max="7673" width="10.88671875" style="52" customWidth="1"/>
    <col min="7674" max="7674" width="11.33203125" style="52" customWidth="1"/>
    <col min="7675" max="7675" width="10.44140625" style="52" customWidth="1"/>
    <col min="7676" max="7676" width="4.33203125" style="52" customWidth="1"/>
    <col min="7677" max="7677" width="0.6640625" style="52" customWidth="1"/>
    <col min="7678" max="7678" width="4.33203125" style="52" customWidth="1"/>
    <col min="7679" max="7679" width="1" style="52" customWidth="1"/>
    <col min="7680" max="7680" width="1.88671875" style="52" customWidth="1"/>
    <col min="7681" max="7681" width="0.6640625" style="52" customWidth="1"/>
    <col min="7682" max="7682" width="4.33203125" style="52" customWidth="1"/>
    <col min="7683" max="7683" width="1" style="52" customWidth="1"/>
    <col min="7684" max="7684" width="1.88671875" style="52" customWidth="1"/>
    <col min="7685" max="7685" width="0.6640625" style="52" customWidth="1"/>
    <col min="7686" max="7686" width="4.33203125" style="52" customWidth="1"/>
    <col min="7687" max="7687" width="1" style="52" customWidth="1"/>
    <col min="7688" max="7688" width="1.88671875" style="52" customWidth="1"/>
    <col min="7689" max="7689" width="0.6640625" style="52" customWidth="1"/>
    <col min="7690" max="7690" width="4.33203125" style="52" customWidth="1"/>
    <col min="7691" max="7691" width="1" style="52" customWidth="1"/>
    <col min="7692" max="7692" width="1.88671875" style="52" customWidth="1"/>
    <col min="7693" max="7693" width="0.6640625" style="52" customWidth="1"/>
    <col min="7694" max="7694" width="4.33203125" style="52" customWidth="1"/>
    <col min="7695" max="7695" width="1.6640625" style="52" customWidth="1"/>
    <col min="7696" max="7696" width="9.5546875" style="52" customWidth="1"/>
    <col min="7697" max="7697" width="0" style="52" hidden="1" customWidth="1"/>
    <col min="7698" max="7698" width="4.6640625" style="52" bestFit="1" customWidth="1"/>
    <col min="7699" max="7700" width="0" style="52" hidden="1" customWidth="1"/>
    <col min="7701" max="7919" width="11.44140625" style="52"/>
    <col min="7920" max="7920" width="3.44140625" style="52" customWidth="1"/>
    <col min="7921" max="7921" width="10.88671875" style="52" customWidth="1"/>
    <col min="7922" max="7922" width="1" style="52" customWidth="1"/>
    <col min="7923" max="7923" width="10.88671875" style="52" customWidth="1"/>
    <col min="7924" max="7924" width="15.33203125" style="52" customWidth="1"/>
    <col min="7925" max="7925" width="4.33203125" style="52" customWidth="1"/>
    <col min="7926" max="7926" width="10" style="52" customWidth="1"/>
    <col min="7927" max="7929" width="10.88671875" style="52" customWidth="1"/>
    <col min="7930" max="7930" width="11.33203125" style="52" customWidth="1"/>
    <col min="7931" max="7931" width="10.44140625" style="52" customWidth="1"/>
    <col min="7932" max="7932" width="4.33203125" style="52" customWidth="1"/>
    <col min="7933" max="7933" width="0.6640625" style="52" customWidth="1"/>
    <col min="7934" max="7934" width="4.33203125" style="52" customWidth="1"/>
    <col min="7935" max="7935" width="1" style="52" customWidth="1"/>
    <col min="7936" max="7936" width="1.88671875" style="52" customWidth="1"/>
    <col min="7937" max="7937" width="0.6640625" style="52" customWidth="1"/>
    <col min="7938" max="7938" width="4.33203125" style="52" customWidth="1"/>
    <col min="7939" max="7939" width="1" style="52" customWidth="1"/>
    <col min="7940" max="7940" width="1.88671875" style="52" customWidth="1"/>
    <col min="7941" max="7941" width="0.6640625" style="52" customWidth="1"/>
    <col min="7942" max="7942" width="4.33203125" style="52" customWidth="1"/>
    <col min="7943" max="7943" width="1" style="52" customWidth="1"/>
    <col min="7944" max="7944" width="1.88671875" style="52" customWidth="1"/>
    <col min="7945" max="7945" width="0.6640625" style="52" customWidth="1"/>
    <col min="7946" max="7946" width="4.33203125" style="52" customWidth="1"/>
    <col min="7947" max="7947" width="1" style="52" customWidth="1"/>
    <col min="7948" max="7948" width="1.88671875" style="52" customWidth="1"/>
    <col min="7949" max="7949" width="0.6640625" style="52" customWidth="1"/>
    <col min="7950" max="7950" width="4.33203125" style="52" customWidth="1"/>
    <col min="7951" max="7951" width="1.6640625" style="52" customWidth="1"/>
    <col min="7952" max="7952" width="9.5546875" style="52" customWidth="1"/>
    <col min="7953" max="7953" width="0" style="52" hidden="1" customWidth="1"/>
    <col min="7954" max="7954" width="4.6640625" style="52" bestFit="1" customWidth="1"/>
    <col min="7955" max="7956" width="0" style="52" hidden="1" customWidth="1"/>
    <col min="7957" max="8175" width="11.44140625" style="52"/>
    <col min="8176" max="8176" width="3.44140625" style="52" customWidth="1"/>
    <col min="8177" max="8177" width="10.88671875" style="52" customWidth="1"/>
    <col min="8178" max="8178" width="1" style="52" customWidth="1"/>
    <col min="8179" max="8179" width="10.88671875" style="52" customWidth="1"/>
    <col min="8180" max="8180" width="15.33203125" style="52" customWidth="1"/>
    <col min="8181" max="8181" width="4.33203125" style="52" customWidth="1"/>
    <col min="8182" max="8182" width="10" style="52" customWidth="1"/>
    <col min="8183" max="8185" width="10.88671875" style="52" customWidth="1"/>
    <col min="8186" max="8186" width="11.33203125" style="52" customWidth="1"/>
    <col min="8187" max="8187" width="10.44140625" style="52" customWidth="1"/>
    <col min="8188" max="8188" width="4.33203125" style="52" customWidth="1"/>
    <col min="8189" max="8189" width="0.6640625" style="52" customWidth="1"/>
    <col min="8190" max="8190" width="4.33203125" style="52" customWidth="1"/>
    <col min="8191" max="8191" width="1" style="52" customWidth="1"/>
    <col min="8192" max="8192" width="1.88671875" style="52" customWidth="1"/>
    <col min="8193" max="8193" width="0.6640625" style="52" customWidth="1"/>
    <col min="8194" max="8194" width="4.33203125" style="52" customWidth="1"/>
    <col min="8195" max="8195" width="1" style="52" customWidth="1"/>
    <col min="8196" max="8196" width="1.88671875" style="52" customWidth="1"/>
    <col min="8197" max="8197" width="0.6640625" style="52" customWidth="1"/>
    <col min="8198" max="8198" width="4.33203125" style="52" customWidth="1"/>
    <col min="8199" max="8199" width="1" style="52" customWidth="1"/>
    <col min="8200" max="8200" width="1.88671875" style="52" customWidth="1"/>
    <col min="8201" max="8201" width="0.6640625" style="52" customWidth="1"/>
    <col min="8202" max="8202" width="4.33203125" style="52" customWidth="1"/>
    <col min="8203" max="8203" width="1" style="52" customWidth="1"/>
    <col min="8204" max="8204" width="1.88671875" style="52" customWidth="1"/>
    <col min="8205" max="8205" width="0.6640625" style="52" customWidth="1"/>
    <col min="8206" max="8206" width="4.33203125" style="52" customWidth="1"/>
    <col min="8207" max="8207" width="1.6640625" style="52" customWidth="1"/>
    <col min="8208" max="8208" width="9.5546875" style="52" customWidth="1"/>
    <col min="8209" max="8209" width="0" style="52" hidden="1" customWidth="1"/>
    <col min="8210" max="8210" width="4.6640625" style="52" bestFit="1" customWidth="1"/>
    <col min="8211" max="8212" width="0" style="52" hidden="1" customWidth="1"/>
    <col min="8213" max="8431" width="11.44140625" style="52"/>
    <col min="8432" max="8432" width="3.44140625" style="52" customWidth="1"/>
    <col min="8433" max="8433" width="10.88671875" style="52" customWidth="1"/>
    <col min="8434" max="8434" width="1" style="52" customWidth="1"/>
    <col min="8435" max="8435" width="10.88671875" style="52" customWidth="1"/>
    <col min="8436" max="8436" width="15.33203125" style="52" customWidth="1"/>
    <col min="8437" max="8437" width="4.33203125" style="52" customWidth="1"/>
    <col min="8438" max="8438" width="10" style="52" customWidth="1"/>
    <col min="8439" max="8441" width="10.88671875" style="52" customWidth="1"/>
    <col min="8442" max="8442" width="11.33203125" style="52" customWidth="1"/>
    <col min="8443" max="8443" width="10.44140625" style="52" customWidth="1"/>
    <col min="8444" max="8444" width="4.33203125" style="52" customWidth="1"/>
    <col min="8445" max="8445" width="0.6640625" style="52" customWidth="1"/>
    <col min="8446" max="8446" width="4.33203125" style="52" customWidth="1"/>
    <col min="8447" max="8447" width="1" style="52" customWidth="1"/>
    <col min="8448" max="8448" width="1.88671875" style="52" customWidth="1"/>
    <col min="8449" max="8449" width="0.6640625" style="52" customWidth="1"/>
    <col min="8450" max="8450" width="4.33203125" style="52" customWidth="1"/>
    <col min="8451" max="8451" width="1" style="52" customWidth="1"/>
    <col min="8452" max="8452" width="1.88671875" style="52" customWidth="1"/>
    <col min="8453" max="8453" width="0.6640625" style="52" customWidth="1"/>
    <col min="8454" max="8454" width="4.33203125" style="52" customWidth="1"/>
    <col min="8455" max="8455" width="1" style="52" customWidth="1"/>
    <col min="8456" max="8456" width="1.88671875" style="52" customWidth="1"/>
    <col min="8457" max="8457" width="0.6640625" style="52" customWidth="1"/>
    <col min="8458" max="8458" width="4.33203125" style="52" customWidth="1"/>
    <col min="8459" max="8459" width="1" style="52" customWidth="1"/>
    <col min="8460" max="8460" width="1.88671875" style="52" customWidth="1"/>
    <col min="8461" max="8461" width="0.6640625" style="52" customWidth="1"/>
    <col min="8462" max="8462" width="4.33203125" style="52" customWidth="1"/>
    <col min="8463" max="8463" width="1.6640625" style="52" customWidth="1"/>
    <col min="8464" max="8464" width="9.5546875" style="52" customWidth="1"/>
    <col min="8465" max="8465" width="0" style="52" hidden="1" customWidth="1"/>
    <col min="8466" max="8466" width="4.6640625" style="52" bestFit="1" customWidth="1"/>
    <col min="8467" max="8468" width="0" style="52" hidden="1" customWidth="1"/>
    <col min="8469" max="8687" width="11.44140625" style="52"/>
    <col min="8688" max="8688" width="3.44140625" style="52" customWidth="1"/>
    <col min="8689" max="8689" width="10.88671875" style="52" customWidth="1"/>
    <col min="8690" max="8690" width="1" style="52" customWidth="1"/>
    <col min="8691" max="8691" width="10.88671875" style="52" customWidth="1"/>
    <col min="8692" max="8692" width="15.33203125" style="52" customWidth="1"/>
    <col min="8693" max="8693" width="4.33203125" style="52" customWidth="1"/>
    <col min="8694" max="8694" width="10" style="52" customWidth="1"/>
    <col min="8695" max="8697" width="10.88671875" style="52" customWidth="1"/>
    <col min="8698" max="8698" width="11.33203125" style="52" customWidth="1"/>
    <col min="8699" max="8699" width="10.44140625" style="52" customWidth="1"/>
    <col min="8700" max="8700" width="4.33203125" style="52" customWidth="1"/>
    <col min="8701" max="8701" width="0.6640625" style="52" customWidth="1"/>
    <col min="8702" max="8702" width="4.33203125" style="52" customWidth="1"/>
    <col min="8703" max="8703" width="1" style="52" customWidth="1"/>
    <col min="8704" max="8704" width="1.88671875" style="52" customWidth="1"/>
    <col min="8705" max="8705" width="0.6640625" style="52" customWidth="1"/>
    <col min="8706" max="8706" width="4.33203125" style="52" customWidth="1"/>
    <col min="8707" max="8707" width="1" style="52" customWidth="1"/>
    <col min="8708" max="8708" width="1.88671875" style="52" customWidth="1"/>
    <col min="8709" max="8709" width="0.6640625" style="52" customWidth="1"/>
    <col min="8710" max="8710" width="4.33203125" style="52" customWidth="1"/>
    <col min="8711" max="8711" width="1" style="52" customWidth="1"/>
    <col min="8712" max="8712" width="1.88671875" style="52" customWidth="1"/>
    <col min="8713" max="8713" width="0.6640625" style="52" customWidth="1"/>
    <col min="8714" max="8714" width="4.33203125" style="52" customWidth="1"/>
    <col min="8715" max="8715" width="1" style="52" customWidth="1"/>
    <col min="8716" max="8716" width="1.88671875" style="52" customWidth="1"/>
    <col min="8717" max="8717" width="0.6640625" style="52" customWidth="1"/>
    <col min="8718" max="8718" width="4.33203125" style="52" customWidth="1"/>
    <col min="8719" max="8719" width="1.6640625" style="52" customWidth="1"/>
    <col min="8720" max="8720" width="9.5546875" style="52" customWidth="1"/>
    <col min="8721" max="8721" width="0" style="52" hidden="1" customWidth="1"/>
    <col min="8722" max="8722" width="4.6640625" style="52" bestFit="1" customWidth="1"/>
    <col min="8723" max="8724" width="0" style="52" hidden="1" customWidth="1"/>
    <col min="8725" max="8943" width="11.44140625" style="52"/>
    <col min="8944" max="8944" width="3.44140625" style="52" customWidth="1"/>
    <col min="8945" max="8945" width="10.88671875" style="52" customWidth="1"/>
    <col min="8946" max="8946" width="1" style="52" customWidth="1"/>
    <col min="8947" max="8947" width="10.88671875" style="52" customWidth="1"/>
    <col min="8948" max="8948" width="15.33203125" style="52" customWidth="1"/>
    <col min="8949" max="8949" width="4.33203125" style="52" customWidth="1"/>
    <col min="8950" max="8950" width="10" style="52" customWidth="1"/>
    <col min="8951" max="8953" width="10.88671875" style="52" customWidth="1"/>
    <col min="8954" max="8954" width="11.33203125" style="52" customWidth="1"/>
    <col min="8955" max="8955" width="10.44140625" style="52" customWidth="1"/>
    <col min="8956" max="8956" width="4.33203125" style="52" customWidth="1"/>
    <col min="8957" max="8957" width="0.6640625" style="52" customWidth="1"/>
    <col min="8958" max="8958" width="4.33203125" style="52" customWidth="1"/>
    <col min="8959" max="8959" width="1" style="52" customWidth="1"/>
    <col min="8960" max="8960" width="1.88671875" style="52" customWidth="1"/>
    <col min="8961" max="8961" width="0.6640625" style="52" customWidth="1"/>
    <col min="8962" max="8962" width="4.33203125" style="52" customWidth="1"/>
    <col min="8963" max="8963" width="1" style="52" customWidth="1"/>
    <col min="8964" max="8964" width="1.88671875" style="52" customWidth="1"/>
    <col min="8965" max="8965" width="0.6640625" style="52" customWidth="1"/>
    <col min="8966" max="8966" width="4.33203125" style="52" customWidth="1"/>
    <col min="8967" max="8967" width="1" style="52" customWidth="1"/>
    <col min="8968" max="8968" width="1.88671875" style="52" customWidth="1"/>
    <col min="8969" max="8969" width="0.6640625" style="52" customWidth="1"/>
    <col min="8970" max="8970" width="4.33203125" style="52" customWidth="1"/>
    <col min="8971" max="8971" width="1" style="52" customWidth="1"/>
    <col min="8972" max="8972" width="1.88671875" style="52" customWidth="1"/>
    <col min="8973" max="8973" width="0.6640625" style="52" customWidth="1"/>
    <col min="8974" max="8974" width="4.33203125" style="52" customWidth="1"/>
    <col min="8975" max="8975" width="1.6640625" style="52" customWidth="1"/>
    <col min="8976" max="8976" width="9.5546875" style="52" customWidth="1"/>
    <col min="8977" max="8977" width="0" style="52" hidden="1" customWidth="1"/>
    <col min="8978" max="8978" width="4.6640625" style="52" bestFit="1" customWidth="1"/>
    <col min="8979" max="8980" width="0" style="52" hidden="1" customWidth="1"/>
    <col min="8981" max="9199" width="11.44140625" style="52"/>
    <col min="9200" max="9200" width="3.44140625" style="52" customWidth="1"/>
    <col min="9201" max="9201" width="10.88671875" style="52" customWidth="1"/>
    <col min="9202" max="9202" width="1" style="52" customWidth="1"/>
    <col min="9203" max="9203" width="10.88671875" style="52" customWidth="1"/>
    <col min="9204" max="9204" width="15.33203125" style="52" customWidth="1"/>
    <col min="9205" max="9205" width="4.33203125" style="52" customWidth="1"/>
    <col min="9206" max="9206" width="10" style="52" customWidth="1"/>
    <col min="9207" max="9209" width="10.88671875" style="52" customWidth="1"/>
    <col min="9210" max="9210" width="11.33203125" style="52" customWidth="1"/>
    <col min="9211" max="9211" width="10.44140625" style="52" customWidth="1"/>
    <col min="9212" max="9212" width="4.33203125" style="52" customWidth="1"/>
    <col min="9213" max="9213" width="0.6640625" style="52" customWidth="1"/>
    <col min="9214" max="9214" width="4.33203125" style="52" customWidth="1"/>
    <col min="9215" max="9215" width="1" style="52" customWidth="1"/>
    <col min="9216" max="9216" width="1.88671875" style="52" customWidth="1"/>
    <col min="9217" max="9217" width="0.6640625" style="52" customWidth="1"/>
    <col min="9218" max="9218" width="4.33203125" style="52" customWidth="1"/>
    <col min="9219" max="9219" width="1" style="52" customWidth="1"/>
    <col min="9220" max="9220" width="1.88671875" style="52" customWidth="1"/>
    <col min="9221" max="9221" width="0.6640625" style="52" customWidth="1"/>
    <col min="9222" max="9222" width="4.33203125" style="52" customWidth="1"/>
    <col min="9223" max="9223" width="1" style="52" customWidth="1"/>
    <col min="9224" max="9224" width="1.88671875" style="52" customWidth="1"/>
    <col min="9225" max="9225" width="0.6640625" style="52" customWidth="1"/>
    <col min="9226" max="9226" width="4.33203125" style="52" customWidth="1"/>
    <col min="9227" max="9227" width="1" style="52" customWidth="1"/>
    <col min="9228" max="9228" width="1.88671875" style="52" customWidth="1"/>
    <col min="9229" max="9229" width="0.6640625" style="52" customWidth="1"/>
    <col min="9230" max="9230" width="4.33203125" style="52" customWidth="1"/>
    <col min="9231" max="9231" width="1.6640625" style="52" customWidth="1"/>
    <col min="9232" max="9232" width="9.5546875" style="52" customWidth="1"/>
    <col min="9233" max="9233" width="0" style="52" hidden="1" customWidth="1"/>
    <col min="9234" max="9234" width="4.6640625" style="52" bestFit="1" customWidth="1"/>
    <col min="9235" max="9236" width="0" style="52" hidden="1" customWidth="1"/>
    <col min="9237" max="9455" width="11.44140625" style="52"/>
    <col min="9456" max="9456" width="3.44140625" style="52" customWidth="1"/>
    <col min="9457" max="9457" width="10.88671875" style="52" customWidth="1"/>
    <col min="9458" max="9458" width="1" style="52" customWidth="1"/>
    <col min="9459" max="9459" width="10.88671875" style="52" customWidth="1"/>
    <col min="9460" max="9460" width="15.33203125" style="52" customWidth="1"/>
    <col min="9461" max="9461" width="4.33203125" style="52" customWidth="1"/>
    <col min="9462" max="9462" width="10" style="52" customWidth="1"/>
    <col min="9463" max="9465" width="10.88671875" style="52" customWidth="1"/>
    <col min="9466" max="9466" width="11.33203125" style="52" customWidth="1"/>
    <col min="9467" max="9467" width="10.44140625" style="52" customWidth="1"/>
    <col min="9468" max="9468" width="4.33203125" style="52" customWidth="1"/>
    <col min="9469" max="9469" width="0.6640625" style="52" customWidth="1"/>
    <col min="9470" max="9470" width="4.33203125" style="52" customWidth="1"/>
    <col min="9471" max="9471" width="1" style="52" customWidth="1"/>
    <col min="9472" max="9472" width="1.88671875" style="52" customWidth="1"/>
    <col min="9473" max="9473" width="0.6640625" style="52" customWidth="1"/>
    <col min="9474" max="9474" width="4.33203125" style="52" customWidth="1"/>
    <col min="9475" max="9475" width="1" style="52" customWidth="1"/>
    <col min="9476" max="9476" width="1.88671875" style="52" customWidth="1"/>
    <col min="9477" max="9477" width="0.6640625" style="52" customWidth="1"/>
    <col min="9478" max="9478" width="4.33203125" style="52" customWidth="1"/>
    <col min="9479" max="9479" width="1" style="52" customWidth="1"/>
    <col min="9480" max="9480" width="1.88671875" style="52" customWidth="1"/>
    <col min="9481" max="9481" width="0.6640625" style="52" customWidth="1"/>
    <col min="9482" max="9482" width="4.33203125" style="52" customWidth="1"/>
    <col min="9483" max="9483" width="1" style="52" customWidth="1"/>
    <col min="9484" max="9484" width="1.88671875" style="52" customWidth="1"/>
    <col min="9485" max="9485" width="0.6640625" style="52" customWidth="1"/>
    <col min="9486" max="9486" width="4.33203125" style="52" customWidth="1"/>
    <col min="9487" max="9487" width="1.6640625" style="52" customWidth="1"/>
    <col min="9488" max="9488" width="9.5546875" style="52" customWidth="1"/>
    <col min="9489" max="9489" width="0" style="52" hidden="1" customWidth="1"/>
    <col min="9490" max="9490" width="4.6640625" style="52" bestFit="1" customWidth="1"/>
    <col min="9491" max="9492" width="0" style="52" hidden="1" customWidth="1"/>
    <col min="9493" max="9711" width="11.44140625" style="52"/>
    <col min="9712" max="9712" width="3.44140625" style="52" customWidth="1"/>
    <col min="9713" max="9713" width="10.88671875" style="52" customWidth="1"/>
    <col min="9714" max="9714" width="1" style="52" customWidth="1"/>
    <col min="9715" max="9715" width="10.88671875" style="52" customWidth="1"/>
    <col min="9716" max="9716" width="15.33203125" style="52" customWidth="1"/>
    <col min="9717" max="9717" width="4.33203125" style="52" customWidth="1"/>
    <col min="9718" max="9718" width="10" style="52" customWidth="1"/>
    <col min="9719" max="9721" width="10.88671875" style="52" customWidth="1"/>
    <col min="9722" max="9722" width="11.33203125" style="52" customWidth="1"/>
    <col min="9723" max="9723" width="10.44140625" style="52" customWidth="1"/>
    <col min="9724" max="9724" width="4.33203125" style="52" customWidth="1"/>
    <col min="9725" max="9725" width="0.6640625" style="52" customWidth="1"/>
    <col min="9726" max="9726" width="4.33203125" style="52" customWidth="1"/>
    <col min="9727" max="9727" width="1" style="52" customWidth="1"/>
    <col min="9728" max="9728" width="1.88671875" style="52" customWidth="1"/>
    <col min="9729" max="9729" width="0.6640625" style="52" customWidth="1"/>
    <col min="9730" max="9730" width="4.33203125" style="52" customWidth="1"/>
    <col min="9731" max="9731" width="1" style="52" customWidth="1"/>
    <col min="9732" max="9732" width="1.88671875" style="52" customWidth="1"/>
    <col min="9733" max="9733" width="0.6640625" style="52" customWidth="1"/>
    <col min="9734" max="9734" width="4.33203125" style="52" customWidth="1"/>
    <col min="9735" max="9735" width="1" style="52" customWidth="1"/>
    <col min="9736" max="9736" width="1.88671875" style="52" customWidth="1"/>
    <col min="9737" max="9737" width="0.6640625" style="52" customWidth="1"/>
    <col min="9738" max="9738" width="4.33203125" style="52" customWidth="1"/>
    <col min="9739" max="9739" width="1" style="52" customWidth="1"/>
    <col min="9740" max="9740" width="1.88671875" style="52" customWidth="1"/>
    <col min="9741" max="9741" width="0.6640625" style="52" customWidth="1"/>
    <col min="9742" max="9742" width="4.33203125" style="52" customWidth="1"/>
    <col min="9743" max="9743" width="1.6640625" style="52" customWidth="1"/>
    <col min="9744" max="9744" width="9.5546875" style="52" customWidth="1"/>
    <col min="9745" max="9745" width="0" style="52" hidden="1" customWidth="1"/>
    <col min="9746" max="9746" width="4.6640625" style="52" bestFit="1" customWidth="1"/>
    <col min="9747" max="9748" width="0" style="52" hidden="1" customWidth="1"/>
    <col min="9749" max="9967" width="11.44140625" style="52"/>
    <col min="9968" max="9968" width="3.44140625" style="52" customWidth="1"/>
    <col min="9969" max="9969" width="10.88671875" style="52" customWidth="1"/>
    <col min="9970" max="9970" width="1" style="52" customWidth="1"/>
    <col min="9971" max="9971" width="10.88671875" style="52" customWidth="1"/>
    <col min="9972" max="9972" width="15.33203125" style="52" customWidth="1"/>
    <col min="9973" max="9973" width="4.33203125" style="52" customWidth="1"/>
    <col min="9974" max="9974" width="10" style="52" customWidth="1"/>
    <col min="9975" max="9977" width="10.88671875" style="52" customWidth="1"/>
    <col min="9978" max="9978" width="11.33203125" style="52" customWidth="1"/>
    <col min="9979" max="9979" width="10.44140625" style="52" customWidth="1"/>
    <col min="9980" max="9980" width="4.33203125" style="52" customWidth="1"/>
    <col min="9981" max="9981" width="0.6640625" style="52" customWidth="1"/>
    <col min="9982" max="9982" width="4.33203125" style="52" customWidth="1"/>
    <col min="9983" max="9983" width="1" style="52" customWidth="1"/>
    <col min="9984" max="9984" width="1.88671875" style="52" customWidth="1"/>
    <col min="9985" max="9985" width="0.6640625" style="52" customWidth="1"/>
    <col min="9986" max="9986" width="4.33203125" style="52" customWidth="1"/>
    <col min="9987" max="9987" width="1" style="52" customWidth="1"/>
    <col min="9988" max="9988" width="1.88671875" style="52" customWidth="1"/>
    <col min="9989" max="9989" width="0.6640625" style="52" customWidth="1"/>
    <col min="9990" max="9990" width="4.33203125" style="52" customWidth="1"/>
    <col min="9991" max="9991" width="1" style="52" customWidth="1"/>
    <col min="9992" max="9992" width="1.88671875" style="52" customWidth="1"/>
    <col min="9993" max="9993" width="0.6640625" style="52" customWidth="1"/>
    <col min="9994" max="9994" width="4.33203125" style="52" customWidth="1"/>
    <col min="9995" max="9995" width="1" style="52" customWidth="1"/>
    <col min="9996" max="9996" width="1.88671875" style="52" customWidth="1"/>
    <col min="9997" max="9997" width="0.6640625" style="52" customWidth="1"/>
    <col min="9998" max="9998" width="4.33203125" style="52" customWidth="1"/>
    <col min="9999" max="9999" width="1.6640625" style="52" customWidth="1"/>
    <col min="10000" max="10000" width="9.5546875" style="52" customWidth="1"/>
    <col min="10001" max="10001" width="0" style="52" hidden="1" customWidth="1"/>
    <col min="10002" max="10002" width="4.6640625" style="52" bestFit="1" customWidth="1"/>
    <col min="10003" max="10004" width="0" style="52" hidden="1" customWidth="1"/>
    <col min="10005" max="10223" width="11.44140625" style="52"/>
    <col min="10224" max="10224" width="3.44140625" style="52" customWidth="1"/>
    <col min="10225" max="10225" width="10.88671875" style="52" customWidth="1"/>
    <col min="10226" max="10226" width="1" style="52" customWidth="1"/>
    <col min="10227" max="10227" width="10.88671875" style="52" customWidth="1"/>
    <col min="10228" max="10228" width="15.33203125" style="52" customWidth="1"/>
    <col min="10229" max="10229" width="4.33203125" style="52" customWidth="1"/>
    <col min="10230" max="10230" width="10" style="52" customWidth="1"/>
    <col min="10231" max="10233" width="10.88671875" style="52" customWidth="1"/>
    <col min="10234" max="10234" width="11.33203125" style="52" customWidth="1"/>
    <col min="10235" max="10235" width="10.44140625" style="52" customWidth="1"/>
    <col min="10236" max="10236" width="4.33203125" style="52" customWidth="1"/>
    <col min="10237" max="10237" width="0.6640625" style="52" customWidth="1"/>
    <col min="10238" max="10238" width="4.33203125" style="52" customWidth="1"/>
    <col min="10239" max="10239" width="1" style="52" customWidth="1"/>
    <col min="10240" max="10240" width="1.88671875" style="52" customWidth="1"/>
    <col min="10241" max="10241" width="0.6640625" style="52" customWidth="1"/>
    <col min="10242" max="10242" width="4.33203125" style="52" customWidth="1"/>
    <col min="10243" max="10243" width="1" style="52" customWidth="1"/>
    <col min="10244" max="10244" width="1.88671875" style="52" customWidth="1"/>
    <col min="10245" max="10245" width="0.6640625" style="52" customWidth="1"/>
    <col min="10246" max="10246" width="4.33203125" style="52" customWidth="1"/>
    <col min="10247" max="10247" width="1" style="52" customWidth="1"/>
    <col min="10248" max="10248" width="1.88671875" style="52" customWidth="1"/>
    <col min="10249" max="10249" width="0.6640625" style="52" customWidth="1"/>
    <col min="10250" max="10250" width="4.33203125" style="52" customWidth="1"/>
    <col min="10251" max="10251" width="1" style="52" customWidth="1"/>
    <col min="10252" max="10252" width="1.88671875" style="52" customWidth="1"/>
    <col min="10253" max="10253" width="0.6640625" style="52" customWidth="1"/>
    <col min="10254" max="10254" width="4.33203125" style="52" customWidth="1"/>
    <col min="10255" max="10255" width="1.6640625" style="52" customWidth="1"/>
    <col min="10256" max="10256" width="9.5546875" style="52" customWidth="1"/>
    <col min="10257" max="10257" width="0" style="52" hidden="1" customWidth="1"/>
    <col min="10258" max="10258" width="4.6640625" style="52" bestFit="1" customWidth="1"/>
    <col min="10259" max="10260" width="0" style="52" hidden="1" customWidth="1"/>
    <col min="10261" max="10479" width="11.44140625" style="52"/>
    <col min="10480" max="10480" width="3.44140625" style="52" customWidth="1"/>
    <col min="10481" max="10481" width="10.88671875" style="52" customWidth="1"/>
    <col min="10482" max="10482" width="1" style="52" customWidth="1"/>
    <col min="10483" max="10483" width="10.88671875" style="52" customWidth="1"/>
    <col min="10484" max="10484" width="15.33203125" style="52" customWidth="1"/>
    <col min="10485" max="10485" width="4.33203125" style="52" customWidth="1"/>
    <col min="10486" max="10486" width="10" style="52" customWidth="1"/>
    <col min="10487" max="10489" width="10.88671875" style="52" customWidth="1"/>
    <col min="10490" max="10490" width="11.33203125" style="52" customWidth="1"/>
    <col min="10491" max="10491" width="10.44140625" style="52" customWidth="1"/>
    <col min="10492" max="10492" width="4.33203125" style="52" customWidth="1"/>
    <col min="10493" max="10493" width="0.6640625" style="52" customWidth="1"/>
    <col min="10494" max="10494" width="4.33203125" style="52" customWidth="1"/>
    <col min="10495" max="10495" width="1" style="52" customWidth="1"/>
    <col min="10496" max="10496" width="1.88671875" style="52" customWidth="1"/>
    <col min="10497" max="10497" width="0.6640625" style="52" customWidth="1"/>
    <col min="10498" max="10498" width="4.33203125" style="52" customWidth="1"/>
    <col min="10499" max="10499" width="1" style="52" customWidth="1"/>
    <col min="10500" max="10500" width="1.88671875" style="52" customWidth="1"/>
    <col min="10501" max="10501" width="0.6640625" style="52" customWidth="1"/>
    <col min="10502" max="10502" width="4.33203125" style="52" customWidth="1"/>
    <col min="10503" max="10503" width="1" style="52" customWidth="1"/>
    <col min="10504" max="10504" width="1.88671875" style="52" customWidth="1"/>
    <col min="10505" max="10505" width="0.6640625" style="52" customWidth="1"/>
    <col min="10506" max="10506" width="4.33203125" style="52" customWidth="1"/>
    <col min="10507" max="10507" width="1" style="52" customWidth="1"/>
    <col min="10508" max="10508" width="1.88671875" style="52" customWidth="1"/>
    <col min="10509" max="10509" width="0.6640625" style="52" customWidth="1"/>
    <col min="10510" max="10510" width="4.33203125" style="52" customWidth="1"/>
    <col min="10511" max="10511" width="1.6640625" style="52" customWidth="1"/>
    <col min="10512" max="10512" width="9.5546875" style="52" customWidth="1"/>
    <col min="10513" max="10513" width="0" style="52" hidden="1" customWidth="1"/>
    <col min="10514" max="10514" width="4.6640625" style="52" bestFit="1" customWidth="1"/>
    <col min="10515" max="10516" width="0" style="52" hidden="1" customWidth="1"/>
    <col min="10517" max="10735" width="11.44140625" style="52"/>
    <col min="10736" max="10736" width="3.44140625" style="52" customWidth="1"/>
    <col min="10737" max="10737" width="10.88671875" style="52" customWidth="1"/>
    <col min="10738" max="10738" width="1" style="52" customWidth="1"/>
    <col min="10739" max="10739" width="10.88671875" style="52" customWidth="1"/>
    <col min="10740" max="10740" width="15.33203125" style="52" customWidth="1"/>
    <col min="10741" max="10741" width="4.33203125" style="52" customWidth="1"/>
    <col min="10742" max="10742" width="10" style="52" customWidth="1"/>
    <col min="10743" max="10745" width="10.88671875" style="52" customWidth="1"/>
    <col min="10746" max="10746" width="11.33203125" style="52" customWidth="1"/>
    <col min="10747" max="10747" width="10.44140625" style="52" customWidth="1"/>
    <col min="10748" max="10748" width="4.33203125" style="52" customWidth="1"/>
    <col min="10749" max="10749" width="0.6640625" style="52" customWidth="1"/>
    <col min="10750" max="10750" width="4.33203125" style="52" customWidth="1"/>
    <col min="10751" max="10751" width="1" style="52" customWidth="1"/>
    <col min="10752" max="10752" width="1.88671875" style="52" customWidth="1"/>
    <col min="10753" max="10753" width="0.6640625" style="52" customWidth="1"/>
    <col min="10754" max="10754" width="4.33203125" style="52" customWidth="1"/>
    <col min="10755" max="10755" width="1" style="52" customWidth="1"/>
    <col min="10756" max="10756" width="1.88671875" style="52" customWidth="1"/>
    <col min="10757" max="10757" width="0.6640625" style="52" customWidth="1"/>
    <col min="10758" max="10758" width="4.33203125" style="52" customWidth="1"/>
    <col min="10759" max="10759" width="1" style="52" customWidth="1"/>
    <col min="10760" max="10760" width="1.88671875" style="52" customWidth="1"/>
    <col min="10761" max="10761" width="0.6640625" style="52" customWidth="1"/>
    <col min="10762" max="10762" width="4.33203125" style="52" customWidth="1"/>
    <col min="10763" max="10763" width="1" style="52" customWidth="1"/>
    <col min="10764" max="10764" width="1.88671875" style="52" customWidth="1"/>
    <col min="10765" max="10765" width="0.6640625" style="52" customWidth="1"/>
    <col min="10766" max="10766" width="4.33203125" style="52" customWidth="1"/>
    <col min="10767" max="10767" width="1.6640625" style="52" customWidth="1"/>
    <col min="10768" max="10768" width="9.5546875" style="52" customWidth="1"/>
    <col min="10769" max="10769" width="0" style="52" hidden="1" customWidth="1"/>
    <col min="10770" max="10770" width="4.6640625" style="52" bestFit="1" customWidth="1"/>
    <col min="10771" max="10772" width="0" style="52" hidden="1" customWidth="1"/>
    <col min="10773" max="10991" width="11.44140625" style="52"/>
    <col min="10992" max="10992" width="3.44140625" style="52" customWidth="1"/>
    <col min="10993" max="10993" width="10.88671875" style="52" customWidth="1"/>
    <col min="10994" max="10994" width="1" style="52" customWidth="1"/>
    <col min="10995" max="10995" width="10.88671875" style="52" customWidth="1"/>
    <col min="10996" max="10996" width="15.33203125" style="52" customWidth="1"/>
    <col min="10997" max="10997" width="4.33203125" style="52" customWidth="1"/>
    <col min="10998" max="10998" width="10" style="52" customWidth="1"/>
    <col min="10999" max="11001" width="10.88671875" style="52" customWidth="1"/>
    <col min="11002" max="11002" width="11.33203125" style="52" customWidth="1"/>
    <col min="11003" max="11003" width="10.44140625" style="52" customWidth="1"/>
    <col min="11004" max="11004" width="4.33203125" style="52" customWidth="1"/>
    <col min="11005" max="11005" width="0.6640625" style="52" customWidth="1"/>
    <col min="11006" max="11006" width="4.33203125" style="52" customWidth="1"/>
    <col min="11007" max="11007" width="1" style="52" customWidth="1"/>
    <col min="11008" max="11008" width="1.88671875" style="52" customWidth="1"/>
    <col min="11009" max="11009" width="0.6640625" style="52" customWidth="1"/>
    <col min="11010" max="11010" width="4.33203125" style="52" customWidth="1"/>
    <col min="11011" max="11011" width="1" style="52" customWidth="1"/>
    <col min="11012" max="11012" width="1.88671875" style="52" customWidth="1"/>
    <col min="11013" max="11013" width="0.6640625" style="52" customWidth="1"/>
    <col min="11014" max="11014" width="4.33203125" style="52" customWidth="1"/>
    <col min="11015" max="11015" width="1" style="52" customWidth="1"/>
    <col min="11016" max="11016" width="1.88671875" style="52" customWidth="1"/>
    <col min="11017" max="11017" width="0.6640625" style="52" customWidth="1"/>
    <col min="11018" max="11018" width="4.33203125" style="52" customWidth="1"/>
    <col min="11019" max="11019" width="1" style="52" customWidth="1"/>
    <col min="11020" max="11020" width="1.88671875" style="52" customWidth="1"/>
    <col min="11021" max="11021" width="0.6640625" style="52" customWidth="1"/>
    <col min="11022" max="11022" width="4.33203125" style="52" customWidth="1"/>
    <col min="11023" max="11023" width="1.6640625" style="52" customWidth="1"/>
    <col min="11024" max="11024" width="9.5546875" style="52" customWidth="1"/>
    <col min="11025" max="11025" width="0" style="52" hidden="1" customWidth="1"/>
    <col min="11026" max="11026" width="4.6640625" style="52" bestFit="1" customWidth="1"/>
    <col min="11027" max="11028" width="0" style="52" hidden="1" customWidth="1"/>
    <col min="11029" max="11247" width="11.44140625" style="52"/>
    <col min="11248" max="11248" width="3.44140625" style="52" customWidth="1"/>
    <col min="11249" max="11249" width="10.88671875" style="52" customWidth="1"/>
    <col min="11250" max="11250" width="1" style="52" customWidth="1"/>
    <col min="11251" max="11251" width="10.88671875" style="52" customWidth="1"/>
    <col min="11252" max="11252" width="15.33203125" style="52" customWidth="1"/>
    <col min="11253" max="11253" width="4.33203125" style="52" customWidth="1"/>
    <col min="11254" max="11254" width="10" style="52" customWidth="1"/>
    <col min="11255" max="11257" width="10.88671875" style="52" customWidth="1"/>
    <col min="11258" max="11258" width="11.33203125" style="52" customWidth="1"/>
    <col min="11259" max="11259" width="10.44140625" style="52" customWidth="1"/>
    <col min="11260" max="11260" width="4.33203125" style="52" customWidth="1"/>
    <col min="11261" max="11261" width="0.6640625" style="52" customWidth="1"/>
    <col min="11262" max="11262" width="4.33203125" style="52" customWidth="1"/>
    <col min="11263" max="11263" width="1" style="52" customWidth="1"/>
    <col min="11264" max="11264" width="1.88671875" style="52" customWidth="1"/>
    <col min="11265" max="11265" width="0.6640625" style="52" customWidth="1"/>
    <col min="11266" max="11266" width="4.33203125" style="52" customWidth="1"/>
    <col min="11267" max="11267" width="1" style="52" customWidth="1"/>
    <col min="11268" max="11268" width="1.88671875" style="52" customWidth="1"/>
    <col min="11269" max="11269" width="0.6640625" style="52" customWidth="1"/>
    <col min="11270" max="11270" width="4.33203125" style="52" customWidth="1"/>
    <col min="11271" max="11271" width="1" style="52" customWidth="1"/>
    <col min="11272" max="11272" width="1.88671875" style="52" customWidth="1"/>
    <col min="11273" max="11273" width="0.6640625" style="52" customWidth="1"/>
    <col min="11274" max="11274" width="4.33203125" style="52" customWidth="1"/>
    <col min="11275" max="11275" width="1" style="52" customWidth="1"/>
    <col min="11276" max="11276" width="1.88671875" style="52" customWidth="1"/>
    <col min="11277" max="11277" width="0.6640625" style="52" customWidth="1"/>
    <col min="11278" max="11278" width="4.33203125" style="52" customWidth="1"/>
    <col min="11279" max="11279" width="1.6640625" style="52" customWidth="1"/>
    <col min="11280" max="11280" width="9.5546875" style="52" customWidth="1"/>
    <col min="11281" max="11281" width="0" style="52" hidden="1" customWidth="1"/>
    <col min="11282" max="11282" width="4.6640625" style="52" bestFit="1" customWidth="1"/>
    <col min="11283" max="11284" width="0" style="52" hidden="1" customWidth="1"/>
    <col min="11285" max="11503" width="11.44140625" style="52"/>
    <col min="11504" max="11504" width="3.44140625" style="52" customWidth="1"/>
    <col min="11505" max="11505" width="10.88671875" style="52" customWidth="1"/>
    <col min="11506" max="11506" width="1" style="52" customWidth="1"/>
    <col min="11507" max="11507" width="10.88671875" style="52" customWidth="1"/>
    <col min="11508" max="11508" width="15.33203125" style="52" customWidth="1"/>
    <col min="11509" max="11509" width="4.33203125" style="52" customWidth="1"/>
    <col min="11510" max="11510" width="10" style="52" customWidth="1"/>
    <col min="11511" max="11513" width="10.88671875" style="52" customWidth="1"/>
    <col min="11514" max="11514" width="11.33203125" style="52" customWidth="1"/>
    <col min="11515" max="11515" width="10.44140625" style="52" customWidth="1"/>
    <col min="11516" max="11516" width="4.33203125" style="52" customWidth="1"/>
    <col min="11517" max="11517" width="0.6640625" style="52" customWidth="1"/>
    <col min="11518" max="11518" width="4.33203125" style="52" customWidth="1"/>
    <col min="11519" max="11519" width="1" style="52" customWidth="1"/>
    <col min="11520" max="11520" width="1.88671875" style="52" customWidth="1"/>
    <col min="11521" max="11521" width="0.6640625" style="52" customWidth="1"/>
    <col min="11522" max="11522" width="4.33203125" style="52" customWidth="1"/>
    <col min="11523" max="11523" width="1" style="52" customWidth="1"/>
    <col min="11524" max="11524" width="1.88671875" style="52" customWidth="1"/>
    <col min="11525" max="11525" width="0.6640625" style="52" customWidth="1"/>
    <col min="11526" max="11526" width="4.33203125" style="52" customWidth="1"/>
    <col min="11527" max="11527" width="1" style="52" customWidth="1"/>
    <col min="11528" max="11528" width="1.88671875" style="52" customWidth="1"/>
    <col min="11529" max="11529" width="0.6640625" style="52" customWidth="1"/>
    <col min="11530" max="11530" width="4.33203125" style="52" customWidth="1"/>
    <col min="11531" max="11531" width="1" style="52" customWidth="1"/>
    <col min="11532" max="11532" width="1.88671875" style="52" customWidth="1"/>
    <col min="11533" max="11533" width="0.6640625" style="52" customWidth="1"/>
    <col min="11534" max="11534" width="4.33203125" style="52" customWidth="1"/>
    <col min="11535" max="11535" width="1.6640625" style="52" customWidth="1"/>
    <col min="11536" max="11536" width="9.5546875" style="52" customWidth="1"/>
    <col min="11537" max="11537" width="0" style="52" hidden="1" customWidth="1"/>
    <col min="11538" max="11538" width="4.6640625" style="52" bestFit="1" customWidth="1"/>
    <col min="11539" max="11540" width="0" style="52" hidden="1" customWidth="1"/>
    <col min="11541" max="11759" width="11.44140625" style="52"/>
    <col min="11760" max="11760" width="3.44140625" style="52" customWidth="1"/>
    <col min="11761" max="11761" width="10.88671875" style="52" customWidth="1"/>
    <col min="11762" max="11762" width="1" style="52" customWidth="1"/>
    <col min="11763" max="11763" width="10.88671875" style="52" customWidth="1"/>
    <col min="11764" max="11764" width="15.33203125" style="52" customWidth="1"/>
    <col min="11765" max="11765" width="4.33203125" style="52" customWidth="1"/>
    <col min="11766" max="11766" width="10" style="52" customWidth="1"/>
    <col min="11767" max="11769" width="10.88671875" style="52" customWidth="1"/>
    <col min="11770" max="11770" width="11.33203125" style="52" customWidth="1"/>
    <col min="11771" max="11771" width="10.44140625" style="52" customWidth="1"/>
    <col min="11772" max="11772" width="4.33203125" style="52" customWidth="1"/>
    <col min="11773" max="11773" width="0.6640625" style="52" customWidth="1"/>
    <col min="11774" max="11774" width="4.33203125" style="52" customWidth="1"/>
    <col min="11775" max="11775" width="1" style="52" customWidth="1"/>
    <col min="11776" max="11776" width="1.88671875" style="52" customWidth="1"/>
    <col min="11777" max="11777" width="0.6640625" style="52" customWidth="1"/>
    <col min="11778" max="11778" width="4.33203125" style="52" customWidth="1"/>
    <col min="11779" max="11779" width="1" style="52" customWidth="1"/>
    <col min="11780" max="11780" width="1.88671875" style="52" customWidth="1"/>
    <col min="11781" max="11781" width="0.6640625" style="52" customWidth="1"/>
    <col min="11782" max="11782" width="4.33203125" style="52" customWidth="1"/>
    <col min="11783" max="11783" width="1" style="52" customWidth="1"/>
    <col min="11784" max="11784" width="1.88671875" style="52" customWidth="1"/>
    <col min="11785" max="11785" width="0.6640625" style="52" customWidth="1"/>
    <col min="11786" max="11786" width="4.33203125" style="52" customWidth="1"/>
    <col min="11787" max="11787" width="1" style="52" customWidth="1"/>
    <col min="11788" max="11788" width="1.88671875" style="52" customWidth="1"/>
    <col min="11789" max="11789" width="0.6640625" style="52" customWidth="1"/>
    <col min="11790" max="11790" width="4.33203125" style="52" customWidth="1"/>
    <col min="11791" max="11791" width="1.6640625" style="52" customWidth="1"/>
    <col min="11792" max="11792" width="9.5546875" style="52" customWidth="1"/>
    <col min="11793" max="11793" width="0" style="52" hidden="1" customWidth="1"/>
    <col min="11794" max="11794" width="4.6640625" style="52" bestFit="1" customWidth="1"/>
    <col min="11795" max="11796" width="0" style="52" hidden="1" customWidth="1"/>
    <col min="11797" max="12015" width="11.44140625" style="52"/>
    <col min="12016" max="12016" width="3.44140625" style="52" customWidth="1"/>
    <col min="12017" max="12017" width="10.88671875" style="52" customWidth="1"/>
    <col min="12018" max="12018" width="1" style="52" customWidth="1"/>
    <col min="12019" max="12019" width="10.88671875" style="52" customWidth="1"/>
    <col min="12020" max="12020" width="15.33203125" style="52" customWidth="1"/>
    <col min="12021" max="12021" width="4.33203125" style="52" customWidth="1"/>
    <col min="12022" max="12022" width="10" style="52" customWidth="1"/>
    <col min="12023" max="12025" width="10.88671875" style="52" customWidth="1"/>
    <col min="12026" max="12026" width="11.33203125" style="52" customWidth="1"/>
    <col min="12027" max="12027" width="10.44140625" style="52" customWidth="1"/>
    <col min="12028" max="12028" width="4.33203125" style="52" customWidth="1"/>
    <col min="12029" max="12029" width="0.6640625" style="52" customWidth="1"/>
    <col min="12030" max="12030" width="4.33203125" style="52" customWidth="1"/>
    <col min="12031" max="12031" width="1" style="52" customWidth="1"/>
    <col min="12032" max="12032" width="1.88671875" style="52" customWidth="1"/>
    <col min="12033" max="12033" width="0.6640625" style="52" customWidth="1"/>
    <col min="12034" max="12034" width="4.33203125" style="52" customWidth="1"/>
    <col min="12035" max="12035" width="1" style="52" customWidth="1"/>
    <col min="12036" max="12036" width="1.88671875" style="52" customWidth="1"/>
    <col min="12037" max="12037" width="0.6640625" style="52" customWidth="1"/>
    <col min="12038" max="12038" width="4.33203125" style="52" customWidth="1"/>
    <col min="12039" max="12039" width="1" style="52" customWidth="1"/>
    <col min="12040" max="12040" width="1.88671875" style="52" customWidth="1"/>
    <col min="12041" max="12041" width="0.6640625" style="52" customWidth="1"/>
    <col min="12042" max="12042" width="4.33203125" style="52" customWidth="1"/>
    <col min="12043" max="12043" width="1" style="52" customWidth="1"/>
    <col min="12044" max="12044" width="1.88671875" style="52" customWidth="1"/>
    <col min="12045" max="12045" width="0.6640625" style="52" customWidth="1"/>
    <col min="12046" max="12046" width="4.33203125" style="52" customWidth="1"/>
    <col min="12047" max="12047" width="1.6640625" style="52" customWidth="1"/>
    <col min="12048" max="12048" width="9.5546875" style="52" customWidth="1"/>
    <col min="12049" max="12049" width="0" style="52" hidden="1" customWidth="1"/>
    <col min="12050" max="12050" width="4.6640625" style="52" bestFit="1" customWidth="1"/>
    <col min="12051" max="12052" width="0" style="52" hidden="1" customWidth="1"/>
    <col min="12053" max="12271" width="11.44140625" style="52"/>
    <col min="12272" max="12272" width="3.44140625" style="52" customWidth="1"/>
    <col min="12273" max="12273" width="10.88671875" style="52" customWidth="1"/>
    <col min="12274" max="12274" width="1" style="52" customWidth="1"/>
    <col min="12275" max="12275" width="10.88671875" style="52" customWidth="1"/>
    <col min="12276" max="12276" width="15.33203125" style="52" customWidth="1"/>
    <col min="12277" max="12277" width="4.33203125" style="52" customWidth="1"/>
    <col min="12278" max="12278" width="10" style="52" customWidth="1"/>
    <col min="12279" max="12281" width="10.88671875" style="52" customWidth="1"/>
    <col min="12282" max="12282" width="11.33203125" style="52" customWidth="1"/>
    <col min="12283" max="12283" width="10.44140625" style="52" customWidth="1"/>
    <col min="12284" max="12284" width="4.33203125" style="52" customWidth="1"/>
    <col min="12285" max="12285" width="0.6640625" style="52" customWidth="1"/>
    <col min="12286" max="12286" width="4.33203125" style="52" customWidth="1"/>
    <col min="12287" max="12287" width="1" style="52" customWidth="1"/>
    <col min="12288" max="12288" width="1.88671875" style="52" customWidth="1"/>
    <col min="12289" max="12289" width="0.6640625" style="52" customWidth="1"/>
    <col min="12290" max="12290" width="4.33203125" style="52" customWidth="1"/>
    <col min="12291" max="12291" width="1" style="52" customWidth="1"/>
    <col min="12292" max="12292" width="1.88671875" style="52" customWidth="1"/>
    <col min="12293" max="12293" width="0.6640625" style="52" customWidth="1"/>
    <col min="12294" max="12294" width="4.33203125" style="52" customWidth="1"/>
    <col min="12295" max="12295" width="1" style="52" customWidth="1"/>
    <col min="12296" max="12296" width="1.88671875" style="52" customWidth="1"/>
    <col min="12297" max="12297" width="0.6640625" style="52" customWidth="1"/>
    <col min="12298" max="12298" width="4.33203125" style="52" customWidth="1"/>
    <col min="12299" max="12299" width="1" style="52" customWidth="1"/>
    <col min="12300" max="12300" width="1.88671875" style="52" customWidth="1"/>
    <col min="12301" max="12301" width="0.6640625" style="52" customWidth="1"/>
    <col min="12302" max="12302" width="4.33203125" style="52" customWidth="1"/>
    <col min="12303" max="12303" width="1.6640625" style="52" customWidth="1"/>
    <col min="12304" max="12304" width="9.5546875" style="52" customWidth="1"/>
    <col min="12305" max="12305" width="0" style="52" hidden="1" customWidth="1"/>
    <col min="12306" max="12306" width="4.6640625" style="52" bestFit="1" customWidth="1"/>
    <col min="12307" max="12308" width="0" style="52" hidden="1" customWidth="1"/>
    <col min="12309" max="12527" width="11.44140625" style="52"/>
    <col min="12528" max="12528" width="3.44140625" style="52" customWidth="1"/>
    <col min="12529" max="12529" width="10.88671875" style="52" customWidth="1"/>
    <col min="12530" max="12530" width="1" style="52" customWidth="1"/>
    <col min="12531" max="12531" width="10.88671875" style="52" customWidth="1"/>
    <col min="12532" max="12532" width="15.33203125" style="52" customWidth="1"/>
    <col min="12533" max="12533" width="4.33203125" style="52" customWidth="1"/>
    <col min="12534" max="12534" width="10" style="52" customWidth="1"/>
    <col min="12535" max="12537" width="10.88671875" style="52" customWidth="1"/>
    <col min="12538" max="12538" width="11.33203125" style="52" customWidth="1"/>
    <col min="12539" max="12539" width="10.44140625" style="52" customWidth="1"/>
    <col min="12540" max="12540" width="4.33203125" style="52" customWidth="1"/>
    <col min="12541" max="12541" width="0.6640625" style="52" customWidth="1"/>
    <col min="12542" max="12542" width="4.33203125" style="52" customWidth="1"/>
    <col min="12543" max="12543" width="1" style="52" customWidth="1"/>
    <col min="12544" max="12544" width="1.88671875" style="52" customWidth="1"/>
    <col min="12545" max="12545" width="0.6640625" style="52" customWidth="1"/>
    <col min="12546" max="12546" width="4.33203125" style="52" customWidth="1"/>
    <col min="12547" max="12547" width="1" style="52" customWidth="1"/>
    <col min="12548" max="12548" width="1.88671875" style="52" customWidth="1"/>
    <col min="12549" max="12549" width="0.6640625" style="52" customWidth="1"/>
    <col min="12550" max="12550" width="4.33203125" style="52" customWidth="1"/>
    <col min="12551" max="12551" width="1" style="52" customWidth="1"/>
    <col min="12552" max="12552" width="1.88671875" style="52" customWidth="1"/>
    <col min="12553" max="12553" width="0.6640625" style="52" customWidth="1"/>
    <col min="12554" max="12554" width="4.33203125" style="52" customWidth="1"/>
    <col min="12555" max="12555" width="1" style="52" customWidth="1"/>
    <col min="12556" max="12556" width="1.88671875" style="52" customWidth="1"/>
    <col min="12557" max="12557" width="0.6640625" style="52" customWidth="1"/>
    <col min="12558" max="12558" width="4.33203125" style="52" customWidth="1"/>
    <col min="12559" max="12559" width="1.6640625" style="52" customWidth="1"/>
    <col min="12560" max="12560" width="9.5546875" style="52" customWidth="1"/>
    <col min="12561" max="12561" width="0" style="52" hidden="1" customWidth="1"/>
    <col min="12562" max="12562" width="4.6640625" style="52" bestFit="1" customWidth="1"/>
    <col min="12563" max="12564" width="0" style="52" hidden="1" customWidth="1"/>
    <col min="12565" max="12783" width="11.44140625" style="52"/>
    <col min="12784" max="12784" width="3.44140625" style="52" customWidth="1"/>
    <col min="12785" max="12785" width="10.88671875" style="52" customWidth="1"/>
    <col min="12786" max="12786" width="1" style="52" customWidth="1"/>
    <col min="12787" max="12787" width="10.88671875" style="52" customWidth="1"/>
    <col min="12788" max="12788" width="15.33203125" style="52" customWidth="1"/>
    <col min="12789" max="12789" width="4.33203125" style="52" customWidth="1"/>
    <col min="12790" max="12790" width="10" style="52" customWidth="1"/>
    <col min="12791" max="12793" width="10.88671875" style="52" customWidth="1"/>
    <col min="12794" max="12794" width="11.33203125" style="52" customWidth="1"/>
    <col min="12795" max="12795" width="10.44140625" style="52" customWidth="1"/>
    <col min="12796" max="12796" width="4.33203125" style="52" customWidth="1"/>
    <col min="12797" max="12797" width="0.6640625" style="52" customWidth="1"/>
    <col min="12798" max="12798" width="4.33203125" style="52" customWidth="1"/>
    <col min="12799" max="12799" width="1" style="52" customWidth="1"/>
    <col min="12800" max="12800" width="1.88671875" style="52" customWidth="1"/>
    <col min="12801" max="12801" width="0.6640625" style="52" customWidth="1"/>
    <col min="12802" max="12802" width="4.33203125" style="52" customWidth="1"/>
    <col min="12803" max="12803" width="1" style="52" customWidth="1"/>
    <col min="12804" max="12804" width="1.88671875" style="52" customWidth="1"/>
    <col min="12805" max="12805" width="0.6640625" style="52" customWidth="1"/>
    <col min="12806" max="12806" width="4.33203125" style="52" customWidth="1"/>
    <col min="12807" max="12807" width="1" style="52" customWidth="1"/>
    <col min="12808" max="12808" width="1.88671875" style="52" customWidth="1"/>
    <col min="12809" max="12809" width="0.6640625" style="52" customWidth="1"/>
    <col min="12810" max="12810" width="4.33203125" style="52" customWidth="1"/>
    <col min="12811" max="12811" width="1" style="52" customWidth="1"/>
    <col min="12812" max="12812" width="1.88671875" style="52" customWidth="1"/>
    <col min="12813" max="12813" width="0.6640625" style="52" customWidth="1"/>
    <col min="12814" max="12814" width="4.33203125" style="52" customWidth="1"/>
    <col min="12815" max="12815" width="1.6640625" style="52" customWidth="1"/>
    <col min="12816" max="12816" width="9.5546875" style="52" customWidth="1"/>
    <col min="12817" max="12817" width="0" style="52" hidden="1" customWidth="1"/>
    <col min="12818" max="12818" width="4.6640625" style="52" bestFit="1" customWidth="1"/>
    <col min="12819" max="12820" width="0" style="52" hidden="1" customWidth="1"/>
    <col min="12821" max="13039" width="11.44140625" style="52"/>
    <col min="13040" max="13040" width="3.44140625" style="52" customWidth="1"/>
    <col min="13041" max="13041" width="10.88671875" style="52" customWidth="1"/>
    <col min="13042" max="13042" width="1" style="52" customWidth="1"/>
    <col min="13043" max="13043" width="10.88671875" style="52" customWidth="1"/>
    <col min="13044" max="13044" width="15.33203125" style="52" customWidth="1"/>
    <col min="13045" max="13045" width="4.33203125" style="52" customWidth="1"/>
    <col min="13046" max="13046" width="10" style="52" customWidth="1"/>
    <col min="13047" max="13049" width="10.88671875" style="52" customWidth="1"/>
    <col min="13050" max="13050" width="11.33203125" style="52" customWidth="1"/>
    <col min="13051" max="13051" width="10.44140625" style="52" customWidth="1"/>
    <col min="13052" max="13052" width="4.33203125" style="52" customWidth="1"/>
    <col min="13053" max="13053" width="0.6640625" style="52" customWidth="1"/>
    <col min="13054" max="13054" width="4.33203125" style="52" customWidth="1"/>
    <col min="13055" max="13055" width="1" style="52" customWidth="1"/>
    <col min="13056" max="13056" width="1.88671875" style="52" customWidth="1"/>
    <col min="13057" max="13057" width="0.6640625" style="52" customWidth="1"/>
    <col min="13058" max="13058" width="4.33203125" style="52" customWidth="1"/>
    <col min="13059" max="13059" width="1" style="52" customWidth="1"/>
    <col min="13060" max="13060" width="1.88671875" style="52" customWidth="1"/>
    <col min="13061" max="13061" width="0.6640625" style="52" customWidth="1"/>
    <col min="13062" max="13062" width="4.33203125" style="52" customWidth="1"/>
    <col min="13063" max="13063" width="1" style="52" customWidth="1"/>
    <col min="13064" max="13064" width="1.88671875" style="52" customWidth="1"/>
    <col min="13065" max="13065" width="0.6640625" style="52" customWidth="1"/>
    <col min="13066" max="13066" width="4.33203125" style="52" customWidth="1"/>
    <col min="13067" max="13067" width="1" style="52" customWidth="1"/>
    <col min="13068" max="13068" width="1.88671875" style="52" customWidth="1"/>
    <col min="13069" max="13069" width="0.6640625" style="52" customWidth="1"/>
    <col min="13070" max="13070" width="4.33203125" style="52" customWidth="1"/>
    <col min="13071" max="13071" width="1.6640625" style="52" customWidth="1"/>
    <col min="13072" max="13072" width="9.5546875" style="52" customWidth="1"/>
    <col min="13073" max="13073" width="0" style="52" hidden="1" customWidth="1"/>
    <col min="13074" max="13074" width="4.6640625" style="52" bestFit="1" customWidth="1"/>
    <col min="13075" max="13076" width="0" style="52" hidden="1" customWidth="1"/>
    <col min="13077" max="13295" width="11.44140625" style="52"/>
    <col min="13296" max="13296" width="3.44140625" style="52" customWidth="1"/>
    <col min="13297" max="13297" width="10.88671875" style="52" customWidth="1"/>
    <col min="13298" max="13298" width="1" style="52" customWidth="1"/>
    <col min="13299" max="13299" width="10.88671875" style="52" customWidth="1"/>
    <col min="13300" max="13300" width="15.33203125" style="52" customWidth="1"/>
    <col min="13301" max="13301" width="4.33203125" style="52" customWidth="1"/>
    <col min="13302" max="13302" width="10" style="52" customWidth="1"/>
    <col min="13303" max="13305" width="10.88671875" style="52" customWidth="1"/>
    <col min="13306" max="13306" width="11.33203125" style="52" customWidth="1"/>
    <col min="13307" max="13307" width="10.44140625" style="52" customWidth="1"/>
    <col min="13308" max="13308" width="4.33203125" style="52" customWidth="1"/>
    <col min="13309" max="13309" width="0.6640625" style="52" customWidth="1"/>
    <col min="13310" max="13310" width="4.33203125" style="52" customWidth="1"/>
    <col min="13311" max="13311" width="1" style="52" customWidth="1"/>
    <col min="13312" max="13312" width="1.88671875" style="52" customWidth="1"/>
    <col min="13313" max="13313" width="0.6640625" style="52" customWidth="1"/>
    <col min="13314" max="13314" width="4.33203125" style="52" customWidth="1"/>
    <col min="13315" max="13315" width="1" style="52" customWidth="1"/>
    <col min="13316" max="13316" width="1.88671875" style="52" customWidth="1"/>
    <col min="13317" max="13317" width="0.6640625" style="52" customWidth="1"/>
    <col min="13318" max="13318" width="4.33203125" style="52" customWidth="1"/>
    <col min="13319" max="13319" width="1" style="52" customWidth="1"/>
    <col min="13320" max="13320" width="1.88671875" style="52" customWidth="1"/>
    <col min="13321" max="13321" width="0.6640625" style="52" customWidth="1"/>
    <col min="13322" max="13322" width="4.33203125" style="52" customWidth="1"/>
    <col min="13323" max="13323" width="1" style="52" customWidth="1"/>
    <col min="13324" max="13324" width="1.88671875" style="52" customWidth="1"/>
    <col min="13325" max="13325" width="0.6640625" style="52" customWidth="1"/>
    <col min="13326" max="13326" width="4.33203125" style="52" customWidth="1"/>
    <col min="13327" max="13327" width="1.6640625" style="52" customWidth="1"/>
    <col min="13328" max="13328" width="9.5546875" style="52" customWidth="1"/>
    <col min="13329" max="13329" width="0" style="52" hidden="1" customWidth="1"/>
    <col min="13330" max="13330" width="4.6640625" style="52" bestFit="1" customWidth="1"/>
    <col min="13331" max="13332" width="0" style="52" hidden="1" customWidth="1"/>
    <col min="13333" max="13551" width="11.44140625" style="52"/>
    <col min="13552" max="13552" width="3.44140625" style="52" customWidth="1"/>
    <col min="13553" max="13553" width="10.88671875" style="52" customWidth="1"/>
    <col min="13554" max="13554" width="1" style="52" customWidth="1"/>
    <col min="13555" max="13555" width="10.88671875" style="52" customWidth="1"/>
    <col min="13556" max="13556" width="15.33203125" style="52" customWidth="1"/>
    <col min="13557" max="13557" width="4.33203125" style="52" customWidth="1"/>
    <col min="13558" max="13558" width="10" style="52" customWidth="1"/>
    <col min="13559" max="13561" width="10.88671875" style="52" customWidth="1"/>
    <col min="13562" max="13562" width="11.33203125" style="52" customWidth="1"/>
    <col min="13563" max="13563" width="10.44140625" style="52" customWidth="1"/>
    <col min="13564" max="13564" width="4.33203125" style="52" customWidth="1"/>
    <col min="13565" max="13565" width="0.6640625" style="52" customWidth="1"/>
    <col min="13566" max="13566" width="4.33203125" style="52" customWidth="1"/>
    <col min="13567" max="13567" width="1" style="52" customWidth="1"/>
    <col min="13568" max="13568" width="1.88671875" style="52" customWidth="1"/>
    <col min="13569" max="13569" width="0.6640625" style="52" customWidth="1"/>
    <col min="13570" max="13570" width="4.33203125" style="52" customWidth="1"/>
    <col min="13571" max="13571" width="1" style="52" customWidth="1"/>
    <col min="13572" max="13572" width="1.88671875" style="52" customWidth="1"/>
    <col min="13573" max="13573" width="0.6640625" style="52" customWidth="1"/>
    <col min="13574" max="13574" width="4.33203125" style="52" customWidth="1"/>
    <col min="13575" max="13575" width="1" style="52" customWidth="1"/>
    <col min="13576" max="13576" width="1.88671875" style="52" customWidth="1"/>
    <col min="13577" max="13577" width="0.6640625" style="52" customWidth="1"/>
    <col min="13578" max="13578" width="4.33203125" style="52" customWidth="1"/>
    <col min="13579" max="13579" width="1" style="52" customWidth="1"/>
    <col min="13580" max="13580" width="1.88671875" style="52" customWidth="1"/>
    <col min="13581" max="13581" width="0.6640625" style="52" customWidth="1"/>
    <col min="13582" max="13582" width="4.33203125" style="52" customWidth="1"/>
    <col min="13583" max="13583" width="1.6640625" style="52" customWidth="1"/>
    <col min="13584" max="13584" width="9.5546875" style="52" customWidth="1"/>
    <col min="13585" max="13585" width="0" style="52" hidden="1" customWidth="1"/>
    <col min="13586" max="13586" width="4.6640625" style="52" bestFit="1" customWidth="1"/>
    <col min="13587" max="13588" width="0" style="52" hidden="1" customWidth="1"/>
    <col min="13589" max="13807" width="11.44140625" style="52"/>
    <col min="13808" max="13808" width="3.44140625" style="52" customWidth="1"/>
    <col min="13809" max="13809" width="10.88671875" style="52" customWidth="1"/>
    <col min="13810" max="13810" width="1" style="52" customWidth="1"/>
    <col min="13811" max="13811" width="10.88671875" style="52" customWidth="1"/>
    <col min="13812" max="13812" width="15.33203125" style="52" customWidth="1"/>
    <col min="13813" max="13813" width="4.33203125" style="52" customWidth="1"/>
    <col min="13814" max="13814" width="10" style="52" customWidth="1"/>
    <col min="13815" max="13817" width="10.88671875" style="52" customWidth="1"/>
    <col min="13818" max="13818" width="11.33203125" style="52" customWidth="1"/>
    <col min="13819" max="13819" width="10.44140625" style="52" customWidth="1"/>
    <col min="13820" max="13820" width="4.33203125" style="52" customWidth="1"/>
    <col min="13821" max="13821" width="0.6640625" style="52" customWidth="1"/>
    <col min="13822" max="13822" width="4.33203125" style="52" customWidth="1"/>
    <col min="13823" max="13823" width="1" style="52" customWidth="1"/>
    <col min="13824" max="13824" width="1.88671875" style="52" customWidth="1"/>
    <col min="13825" max="13825" width="0.6640625" style="52" customWidth="1"/>
    <col min="13826" max="13826" width="4.33203125" style="52" customWidth="1"/>
    <col min="13827" max="13827" width="1" style="52" customWidth="1"/>
    <col min="13828" max="13828" width="1.88671875" style="52" customWidth="1"/>
    <col min="13829" max="13829" width="0.6640625" style="52" customWidth="1"/>
    <col min="13830" max="13830" width="4.33203125" style="52" customWidth="1"/>
    <col min="13831" max="13831" width="1" style="52" customWidth="1"/>
    <col min="13832" max="13832" width="1.88671875" style="52" customWidth="1"/>
    <col min="13833" max="13833" width="0.6640625" style="52" customWidth="1"/>
    <col min="13834" max="13834" width="4.33203125" style="52" customWidth="1"/>
    <col min="13835" max="13835" width="1" style="52" customWidth="1"/>
    <col min="13836" max="13836" width="1.88671875" style="52" customWidth="1"/>
    <col min="13837" max="13837" width="0.6640625" style="52" customWidth="1"/>
    <col min="13838" max="13838" width="4.33203125" style="52" customWidth="1"/>
    <col min="13839" max="13839" width="1.6640625" style="52" customWidth="1"/>
    <col min="13840" max="13840" width="9.5546875" style="52" customWidth="1"/>
    <col min="13841" max="13841" width="0" style="52" hidden="1" customWidth="1"/>
    <col min="13842" max="13842" width="4.6640625" style="52" bestFit="1" customWidth="1"/>
    <col min="13843" max="13844" width="0" style="52" hidden="1" customWidth="1"/>
    <col min="13845" max="14063" width="11.44140625" style="52"/>
    <col min="14064" max="14064" width="3.44140625" style="52" customWidth="1"/>
    <col min="14065" max="14065" width="10.88671875" style="52" customWidth="1"/>
    <col min="14066" max="14066" width="1" style="52" customWidth="1"/>
    <col min="14067" max="14067" width="10.88671875" style="52" customWidth="1"/>
    <col min="14068" max="14068" width="15.33203125" style="52" customWidth="1"/>
    <col min="14069" max="14069" width="4.33203125" style="52" customWidth="1"/>
    <col min="14070" max="14070" width="10" style="52" customWidth="1"/>
    <col min="14071" max="14073" width="10.88671875" style="52" customWidth="1"/>
    <col min="14074" max="14074" width="11.33203125" style="52" customWidth="1"/>
    <col min="14075" max="14075" width="10.44140625" style="52" customWidth="1"/>
    <col min="14076" max="14076" width="4.33203125" style="52" customWidth="1"/>
    <col min="14077" max="14077" width="0.6640625" style="52" customWidth="1"/>
    <col min="14078" max="14078" width="4.33203125" style="52" customWidth="1"/>
    <col min="14079" max="14079" width="1" style="52" customWidth="1"/>
    <col min="14080" max="14080" width="1.88671875" style="52" customWidth="1"/>
    <col min="14081" max="14081" width="0.6640625" style="52" customWidth="1"/>
    <col min="14082" max="14082" width="4.33203125" style="52" customWidth="1"/>
    <col min="14083" max="14083" width="1" style="52" customWidth="1"/>
    <col min="14084" max="14084" width="1.88671875" style="52" customWidth="1"/>
    <col min="14085" max="14085" width="0.6640625" style="52" customWidth="1"/>
    <col min="14086" max="14086" width="4.33203125" style="52" customWidth="1"/>
    <col min="14087" max="14087" width="1" style="52" customWidth="1"/>
    <col min="14088" max="14088" width="1.88671875" style="52" customWidth="1"/>
    <col min="14089" max="14089" width="0.6640625" style="52" customWidth="1"/>
    <col min="14090" max="14090" width="4.33203125" style="52" customWidth="1"/>
    <col min="14091" max="14091" width="1" style="52" customWidth="1"/>
    <col min="14092" max="14092" width="1.88671875" style="52" customWidth="1"/>
    <col min="14093" max="14093" width="0.6640625" style="52" customWidth="1"/>
    <col min="14094" max="14094" width="4.33203125" style="52" customWidth="1"/>
    <col min="14095" max="14095" width="1.6640625" style="52" customWidth="1"/>
    <col min="14096" max="14096" width="9.5546875" style="52" customWidth="1"/>
    <col min="14097" max="14097" width="0" style="52" hidden="1" customWidth="1"/>
    <col min="14098" max="14098" width="4.6640625" style="52" bestFit="1" customWidth="1"/>
    <col min="14099" max="14100" width="0" style="52" hidden="1" customWidth="1"/>
    <col min="14101" max="14319" width="11.44140625" style="52"/>
    <col min="14320" max="14320" width="3.44140625" style="52" customWidth="1"/>
    <col min="14321" max="14321" width="10.88671875" style="52" customWidth="1"/>
    <col min="14322" max="14322" width="1" style="52" customWidth="1"/>
    <col min="14323" max="14323" width="10.88671875" style="52" customWidth="1"/>
    <col min="14324" max="14324" width="15.33203125" style="52" customWidth="1"/>
    <col min="14325" max="14325" width="4.33203125" style="52" customWidth="1"/>
    <col min="14326" max="14326" width="10" style="52" customWidth="1"/>
    <col min="14327" max="14329" width="10.88671875" style="52" customWidth="1"/>
    <col min="14330" max="14330" width="11.33203125" style="52" customWidth="1"/>
    <col min="14331" max="14331" width="10.44140625" style="52" customWidth="1"/>
    <col min="14332" max="14332" width="4.33203125" style="52" customWidth="1"/>
    <col min="14333" max="14333" width="0.6640625" style="52" customWidth="1"/>
    <col min="14334" max="14334" width="4.33203125" style="52" customWidth="1"/>
    <col min="14335" max="14335" width="1" style="52" customWidth="1"/>
    <col min="14336" max="14336" width="1.88671875" style="52" customWidth="1"/>
    <col min="14337" max="14337" width="0.6640625" style="52" customWidth="1"/>
    <col min="14338" max="14338" width="4.33203125" style="52" customWidth="1"/>
    <col min="14339" max="14339" width="1" style="52" customWidth="1"/>
    <col min="14340" max="14340" width="1.88671875" style="52" customWidth="1"/>
    <col min="14341" max="14341" width="0.6640625" style="52" customWidth="1"/>
    <col min="14342" max="14342" width="4.33203125" style="52" customWidth="1"/>
    <col min="14343" max="14343" width="1" style="52" customWidth="1"/>
    <col min="14344" max="14344" width="1.88671875" style="52" customWidth="1"/>
    <col min="14345" max="14345" width="0.6640625" style="52" customWidth="1"/>
    <col min="14346" max="14346" width="4.33203125" style="52" customWidth="1"/>
    <col min="14347" max="14347" width="1" style="52" customWidth="1"/>
    <col min="14348" max="14348" width="1.88671875" style="52" customWidth="1"/>
    <col min="14349" max="14349" width="0.6640625" style="52" customWidth="1"/>
    <col min="14350" max="14350" width="4.33203125" style="52" customWidth="1"/>
    <col min="14351" max="14351" width="1.6640625" style="52" customWidth="1"/>
    <col min="14352" max="14352" width="9.5546875" style="52" customWidth="1"/>
    <col min="14353" max="14353" width="0" style="52" hidden="1" customWidth="1"/>
    <col min="14354" max="14354" width="4.6640625" style="52" bestFit="1" customWidth="1"/>
    <col min="14355" max="14356" width="0" style="52" hidden="1" customWidth="1"/>
    <col min="14357" max="14575" width="11.44140625" style="52"/>
    <col min="14576" max="14576" width="3.44140625" style="52" customWidth="1"/>
    <col min="14577" max="14577" width="10.88671875" style="52" customWidth="1"/>
    <col min="14578" max="14578" width="1" style="52" customWidth="1"/>
    <col min="14579" max="14579" width="10.88671875" style="52" customWidth="1"/>
    <col min="14580" max="14580" width="15.33203125" style="52" customWidth="1"/>
    <col min="14581" max="14581" width="4.33203125" style="52" customWidth="1"/>
    <col min="14582" max="14582" width="10" style="52" customWidth="1"/>
    <col min="14583" max="14585" width="10.88671875" style="52" customWidth="1"/>
    <col min="14586" max="14586" width="11.33203125" style="52" customWidth="1"/>
    <col min="14587" max="14587" width="10.44140625" style="52" customWidth="1"/>
    <col min="14588" max="14588" width="4.33203125" style="52" customWidth="1"/>
    <col min="14589" max="14589" width="0.6640625" style="52" customWidth="1"/>
    <col min="14590" max="14590" width="4.33203125" style="52" customWidth="1"/>
    <col min="14591" max="14591" width="1" style="52" customWidth="1"/>
    <col min="14592" max="14592" width="1.88671875" style="52" customWidth="1"/>
    <col min="14593" max="14593" width="0.6640625" style="52" customWidth="1"/>
    <col min="14594" max="14594" width="4.33203125" style="52" customWidth="1"/>
    <col min="14595" max="14595" width="1" style="52" customWidth="1"/>
    <col min="14596" max="14596" width="1.88671875" style="52" customWidth="1"/>
    <col min="14597" max="14597" width="0.6640625" style="52" customWidth="1"/>
    <col min="14598" max="14598" width="4.33203125" style="52" customWidth="1"/>
    <col min="14599" max="14599" width="1" style="52" customWidth="1"/>
    <col min="14600" max="14600" width="1.88671875" style="52" customWidth="1"/>
    <col min="14601" max="14601" width="0.6640625" style="52" customWidth="1"/>
    <col min="14602" max="14602" width="4.33203125" style="52" customWidth="1"/>
    <col min="14603" max="14603" width="1" style="52" customWidth="1"/>
    <col min="14604" max="14604" width="1.88671875" style="52" customWidth="1"/>
    <col min="14605" max="14605" width="0.6640625" style="52" customWidth="1"/>
    <col min="14606" max="14606" width="4.33203125" style="52" customWidth="1"/>
    <col min="14607" max="14607" width="1.6640625" style="52" customWidth="1"/>
    <col min="14608" max="14608" width="9.5546875" style="52" customWidth="1"/>
    <col min="14609" max="14609" width="0" style="52" hidden="1" customWidth="1"/>
    <col min="14610" max="14610" width="4.6640625" style="52" bestFit="1" customWidth="1"/>
    <col min="14611" max="14612" width="0" style="52" hidden="1" customWidth="1"/>
    <col min="14613" max="14831" width="11.44140625" style="52"/>
    <col min="14832" max="14832" width="3.44140625" style="52" customWidth="1"/>
    <col min="14833" max="14833" width="10.88671875" style="52" customWidth="1"/>
    <col min="14834" max="14834" width="1" style="52" customWidth="1"/>
    <col min="14835" max="14835" width="10.88671875" style="52" customWidth="1"/>
    <col min="14836" max="14836" width="15.33203125" style="52" customWidth="1"/>
    <col min="14837" max="14837" width="4.33203125" style="52" customWidth="1"/>
    <col min="14838" max="14838" width="10" style="52" customWidth="1"/>
    <col min="14839" max="14841" width="10.88671875" style="52" customWidth="1"/>
    <col min="14842" max="14842" width="11.33203125" style="52" customWidth="1"/>
    <col min="14843" max="14843" width="10.44140625" style="52" customWidth="1"/>
    <col min="14844" max="14844" width="4.33203125" style="52" customWidth="1"/>
    <col min="14845" max="14845" width="0.6640625" style="52" customWidth="1"/>
    <col min="14846" max="14846" width="4.33203125" style="52" customWidth="1"/>
    <col min="14847" max="14847" width="1" style="52" customWidth="1"/>
    <col min="14848" max="14848" width="1.88671875" style="52" customWidth="1"/>
    <col min="14849" max="14849" width="0.6640625" style="52" customWidth="1"/>
    <col min="14850" max="14850" width="4.33203125" style="52" customWidth="1"/>
    <col min="14851" max="14851" width="1" style="52" customWidth="1"/>
    <col min="14852" max="14852" width="1.88671875" style="52" customWidth="1"/>
    <col min="14853" max="14853" width="0.6640625" style="52" customWidth="1"/>
    <col min="14854" max="14854" width="4.33203125" style="52" customWidth="1"/>
    <col min="14855" max="14855" width="1" style="52" customWidth="1"/>
    <col min="14856" max="14856" width="1.88671875" style="52" customWidth="1"/>
    <col min="14857" max="14857" width="0.6640625" style="52" customWidth="1"/>
    <col min="14858" max="14858" width="4.33203125" style="52" customWidth="1"/>
    <col min="14859" max="14859" width="1" style="52" customWidth="1"/>
    <col min="14860" max="14860" width="1.88671875" style="52" customWidth="1"/>
    <col min="14861" max="14861" width="0.6640625" style="52" customWidth="1"/>
    <col min="14862" max="14862" width="4.33203125" style="52" customWidth="1"/>
    <col min="14863" max="14863" width="1.6640625" style="52" customWidth="1"/>
    <col min="14864" max="14864" width="9.5546875" style="52" customWidth="1"/>
    <col min="14865" max="14865" width="0" style="52" hidden="1" customWidth="1"/>
    <col min="14866" max="14866" width="4.6640625" style="52" bestFit="1" customWidth="1"/>
    <col min="14867" max="14868" width="0" style="52" hidden="1" customWidth="1"/>
    <col min="14869" max="15087" width="11.44140625" style="52"/>
    <col min="15088" max="15088" width="3.44140625" style="52" customWidth="1"/>
    <col min="15089" max="15089" width="10.88671875" style="52" customWidth="1"/>
    <col min="15090" max="15090" width="1" style="52" customWidth="1"/>
    <col min="15091" max="15091" width="10.88671875" style="52" customWidth="1"/>
    <col min="15092" max="15092" width="15.33203125" style="52" customWidth="1"/>
    <col min="15093" max="15093" width="4.33203125" style="52" customWidth="1"/>
    <col min="15094" max="15094" width="10" style="52" customWidth="1"/>
    <col min="15095" max="15097" width="10.88671875" style="52" customWidth="1"/>
    <col min="15098" max="15098" width="11.33203125" style="52" customWidth="1"/>
    <col min="15099" max="15099" width="10.44140625" style="52" customWidth="1"/>
    <col min="15100" max="15100" width="4.33203125" style="52" customWidth="1"/>
    <col min="15101" max="15101" width="0.6640625" style="52" customWidth="1"/>
    <col min="15102" max="15102" width="4.33203125" style="52" customWidth="1"/>
    <col min="15103" max="15103" width="1" style="52" customWidth="1"/>
    <col min="15104" max="15104" width="1.88671875" style="52" customWidth="1"/>
    <col min="15105" max="15105" width="0.6640625" style="52" customWidth="1"/>
    <col min="15106" max="15106" width="4.33203125" style="52" customWidth="1"/>
    <col min="15107" max="15107" width="1" style="52" customWidth="1"/>
    <col min="15108" max="15108" width="1.88671875" style="52" customWidth="1"/>
    <col min="15109" max="15109" width="0.6640625" style="52" customWidth="1"/>
    <col min="15110" max="15110" width="4.33203125" style="52" customWidth="1"/>
    <col min="15111" max="15111" width="1" style="52" customWidth="1"/>
    <col min="15112" max="15112" width="1.88671875" style="52" customWidth="1"/>
    <col min="15113" max="15113" width="0.6640625" style="52" customWidth="1"/>
    <col min="15114" max="15114" width="4.33203125" style="52" customWidth="1"/>
    <col min="15115" max="15115" width="1" style="52" customWidth="1"/>
    <col min="15116" max="15116" width="1.88671875" style="52" customWidth="1"/>
    <col min="15117" max="15117" width="0.6640625" style="52" customWidth="1"/>
    <col min="15118" max="15118" width="4.33203125" style="52" customWidth="1"/>
    <col min="15119" max="15119" width="1.6640625" style="52" customWidth="1"/>
    <col min="15120" max="15120" width="9.5546875" style="52" customWidth="1"/>
    <col min="15121" max="15121" width="0" style="52" hidden="1" customWidth="1"/>
    <col min="15122" max="15122" width="4.6640625" style="52" bestFit="1" customWidth="1"/>
    <col min="15123" max="15124" width="0" style="52" hidden="1" customWidth="1"/>
    <col min="15125" max="15343" width="11.44140625" style="52"/>
    <col min="15344" max="15344" width="3.44140625" style="52" customWidth="1"/>
    <col min="15345" max="15345" width="10.88671875" style="52" customWidth="1"/>
    <col min="15346" max="15346" width="1" style="52" customWidth="1"/>
    <col min="15347" max="15347" width="10.88671875" style="52" customWidth="1"/>
    <col min="15348" max="15348" width="15.33203125" style="52" customWidth="1"/>
    <col min="15349" max="15349" width="4.33203125" style="52" customWidth="1"/>
    <col min="15350" max="15350" width="10" style="52" customWidth="1"/>
    <col min="15351" max="15353" width="10.88671875" style="52" customWidth="1"/>
    <col min="15354" max="15354" width="11.33203125" style="52" customWidth="1"/>
    <col min="15355" max="15355" width="10.44140625" style="52" customWidth="1"/>
    <col min="15356" max="15356" width="4.33203125" style="52" customWidth="1"/>
    <col min="15357" max="15357" width="0.6640625" style="52" customWidth="1"/>
    <col min="15358" max="15358" width="4.33203125" style="52" customWidth="1"/>
    <col min="15359" max="15359" width="1" style="52" customWidth="1"/>
    <col min="15360" max="15360" width="1.88671875" style="52" customWidth="1"/>
    <col min="15361" max="15361" width="0.6640625" style="52" customWidth="1"/>
    <col min="15362" max="15362" width="4.33203125" style="52" customWidth="1"/>
    <col min="15363" max="15363" width="1" style="52" customWidth="1"/>
    <col min="15364" max="15364" width="1.88671875" style="52" customWidth="1"/>
    <col min="15365" max="15365" width="0.6640625" style="52" customWidth="1"/>
    <col min="15366" max="15366" width="4.33203125" style="52" customWidth="1"/>
    <col min="15367" max="15367" width="1" style="52" customWidth="1"/>
    <col min="15368" max="15368" width="1.88671875" style="52" customWidth="1"/>
    <col min="15369" max="15369" width="0.6640625" style="52" customWidth="1"/>
    <col min="15370" max="15370" width="4.33203125" style="52" customWidth="1"/>
    <col min="15371" max="15371" width="1" style="52" customWidth="1"/>
    <col min="15372" max="15372" width="1.88671875" style="52" customWidth="1"/>
    <col min="15373" max="15373" width="0.6640625" style="52" customWidth="1"/>
    <col min="15374" max="15374" width="4.33203125" style="52" customWidth="1"/>
    <col min="15375" max="15375" width="1.6640625" style="52" customWidth="1"/>
    <col min="15376" max="15376" width="9.5546875" style="52" customWidth="1"/>
    <col min="15377" max="15377" width="0" style="52" hidden="1" customWidth="1"/>
    <col min="15378" max="15378" width="4.6640625" style="52" bestFit="1" customWidth="1"/>
    <col min="15379" max="15380" width="0" style="52" hidden="1" customWidth="1"/>
    <col min="15381" max="15599" width="11.44140625" style="52"/>
    <col min="15600" max="15600" width="3.44140625" style="52" customWidth="1"/>
    <col min="15601" max="15601" width="10.88671875" style="52" customWidth="1"/>
    <col min="15602" max="15602" width="1" style="52" customWidth="1"/>
    <col min="15603" max="15603" width="10.88671875" style="52" customWidth="1"/>
    <col min="15604" max="15604" width="15.33203125" style="52" customWidth="1"/>
    <col min="15605" max="15605" width="4.33203125" style="52" customWidth="1"/>
    <col min="15606" max="15606" width="10" style="52" customWidth="1"/>
    <col min="15607" max="15609" width="10.88671875" style="52" customWidth="1"/>
    <col min="15610" max="15610" width="11.33203125" style="52" customWidth="1"/>
    <col min="15611" max="15611" width="10.44140625" style="52" customWidth="1"/>
    <col min="15612" max="15612" width="4.33203125" style="52" customWidth="1"/>
    <col min="15613" max="15613" width="0.6640625" style="52" customWidth="1"/>
    <col min="15614" max="15614" width="4.33203125" style="52" customWidth="1"/>
    <col min="15615" max="15615" width="1" style="52" customWidth="1"/>
    <col min="15616" max="15616" width="1.88671875" style="52" customWidth="1"/>
    <col min="15617" max="15617" width="0.6640625" style="52" customWidth="1"/>
    <col min="15618" max="15618" width="4.33203125" style="52" customWidth="1"/>
    <col min="15619" max="15619" width="1" style="52" customWidth="1"/>
    <col min="15620" max="15620" width="1.88671875" style="52" customWidth="1"/>
    <col min="15621" max="15621" width="0.6640625" style="52" customWidth="1"/>
    <col min="15622" max="15622" width="4.33203125" style="52" customWidth="1"/>
    <col min="15623" max="15623" width="1" style="52" customWidth="1"/>
    <col min="15624" max="15624" width="1.88671875" style="52" customWidth="1"/>
    <col min="15625" max="15625" width="0.6640625" style="52" customWidth="1"/>
    <col min="15626" max="15626" width="4.33203125" style="52" customWidth="1"/>
    <col min="15627" max="15627" width="1" style="52" customWidth="1"/>
    <col min="15628" max="15628" width="1.88671875" style="52" customWidth="1"/>
    <col min="15629" max="15629" width="0.6640625" style="52" customWidth="1"/>
    <col min="15630" max="15630" width="4.33203125" style="52" customWidth="1"/>
    <col min="15631" max="15631" width="1.6640625" style="52" customWidth="1"/>
    <col min="15632" max="15632" width="9.5546875" style="52" customWidth="1"/>
    <col min="15633" max="15633" width="0" style="52" hidden="1" customWidth="1"/>
    <col min="15634" max="15634" width="4.6640625" style="52" bestFit="1" customWidth="1"/>
    <col min="15635" max="15636" width="0" style="52" hidden="1" customWidth="1"/>
    <col min="15637" max="15855" width="11.44140625" style="52"/>
    <col min="15856" max="15856" width="3.44140625" style="52" customWidth="1"/>
    <col min="15857" max="15857" width="10.88671875" style="52" customWidth="1"/>
    <col min="15858" max="15858" width="1" style="52" customWidth="1"/>
    <col min="15859" max="15859" width="10.88671875" style="52" customWidth="1"/>
    <col min="15860" max="15860" width="15.33203125" style="52" customWidth="1"/>
    <col min="15861" max="15861" width="4.33203125" style="52" customWidth="1"/>
    <col min="15862" max="15862" width="10" style="52" customWidth="1"/>
    <col min="15863" max="15865" width="10.88671875" style="52" customWidth="1"/>
    <col min="15866" max="15866" width="11.33203125" style="52" customWidth="1"/>
    <col min="15867" max="15867" width="10.44140625" style="52" customWidth="1"/>
    <col min="15868" max="15868" width="4.33203125" style="52" customWidth="1"/>
    <col min="15869" max="15869" width="0.6640625" style="52" customWidth="1"/>
    <col min="15870" max="15870" width="4.33203125" style="52" customWidth="1"/>
    <col min="15871" max="15871" width="1" style="52" customWidth="1"/>
    <col min="15872" max="15872" width="1.88671875" style="52" customWidth="1"/>
    <col min="15873" max="15873" width="0.6640625" style="52" customWidth="1"/>
    <col min="15874" max="15874" width="4.33203125" style="52" customWidth="1"/>
    <col min="15875" max="15875" width="1" style="52" customWidth="1"/>
    <col min="15876" max="15876" width="1.88671875" style="52" customWidth="1"/>
    <col min="15877" max="15877" width="0.6640625" style="52" customWidth="1"/>
    <col min="15878" max="15878" width="4.33203125" style="52" customWidth="1"/>
    <col min="15879" max="15879" width="1" style="52" customWidth="1"/>
    <col min="15880" max="15880" width="1.88671875" style="52" customWidth="1"/>
    <col min="15881" max="15881" width="0.6640625" style="52" customWidth="1"/>
    <col min="15882" max="15882" width="4.33203125" style="52" customWidth="1"/>
    <col min="15883" max="15883" width="1" style="52" customWidth="1"/>
    <col min="15884" max="15884" width="1.88671875" style="52" customWidth="1"/>
    <col min="15885" max="15885" width="0.6640625" style="52" customWidth="1"/>
    <col min="15886" max="15886" width="4.33203125" style="52" customWidth="1"/>
    <col min="15887" max="15887" width="1.6640625" style="52" customWidth="1"/>
    <col min="15888" max="15888" width="9.5546875" style="52" customWidth="1"/>
    <col min="15889" max="15889" width="0" style="52" hidden="1" customWidth="1"/>
    <col min="15890" max="15890" width="4.6640625" style="52" bestFit="1" customWidth="1"/>
    <col min="15891" max="15892" width="0" style="52" hidden="1" customWidth="1"/>
    <col min="15893" max="16111" width="11.44140625" style="52"/>
    <col min="16112" max="16112" width="3.44140625" style="52" customWidth="1"/>
    <col min="16113" max="16113" width="10.88671875" style="52" customWidth="1"/>
    <col min="16114" max="16114" width="1" style="52" customWidth="1"/>
    <col min="16115" max="16115" width="10.88671875" style="52" customWidth="1"/>
    <col min="16116" max="16116" width="15.33203125" style="52" customWidth="1"/>
    <col min="16117" max="16117" width="4.33203125" style="52" customWidth="1"/>
    <col min="16118" max="16118" width="10" style="52" customWidth="1"/>
    <col min="16119" max="16121" width="10.88671875" style="52" customWidth="1"/>
    <col min="16122" max="16122" width="11.33203125" style="52" customWidth="1"/>
    <col min="16123" max="16123" width="10.44140625" style="52" customWidth="1"/>
    <col min="16124" max="16124" width="4.33203125" style="52" customWidth="1"/>
    <col min="16125" max="16125" width="0.6640625" style="52" customWidth="1"/>
    <col min="16126" max="16126" width="4.33203125" style="52" customWidth="1"/>
    <col min="16127" max="16127" width="1" style="52" customWidth="1"/>
    <col min="16128" max="16128" width="1.88671875" style="52" customWidth="1"/>
    <col min="16129" max="16129" width="0.6640625" style="52" customWidth="1"/>
    <col min="16130" max="16130" width="4.33203125" style="52" customWidth="1"/>
    <col min="16131" max="16131" width="1" style="52" customWidth="1"/>
    <col min="16132" max="16132" width="1.88671875" style="52" customWidth="1"/>
    <col min="16133" max="16133" width="0.6640625" style="52" customWidth="1"/>
    <col min="16134" max="16134" width="4.33203125" style="52" customWidth="1"/>
    <col min="16135" max="16135" width="1" style="52" customWidth="1"/>
    <col min="16136" max="16136" width="1.88671875" style="52" customWidth="1"/>
    <col min="16137" max="16137" width="0.6640625" style="52" customWidth="1"/>
    <col min="16138" max="16138" width="4.33203125" style="52" customWidth="1"/>
    <col min="16139" max="16139" width="1" style="52" customWidth="1"/>
    <col min="16140" max="16140" width="1.88671875" style="52" customWidth="1"/>
    <col min="16141" max="16141" width="0.6640625" style="52" customWidth="1"/>
    <col min="16142" max="16142" width="4.33203125" style="52" customWidth="1"/>
    <col min="16143" max="16143" width="1.6640625" style="52" customWidth="1"/>
    <col min="16144" max="16144" width="9.5546875" style="52" customWidth="1"/>
    <col min="16145" max="16145" width="0" style="52" hidden="1" customWidth="1"/>
    <col min="16146" max="16146" width="4.6640625" style="52" bestFit="1" customWidth="1"/>
    <col min="16147" max="16148" width="0" style="52" hidden="1" customWidth="1"/>
    <col min="16149" max="16361" width="11.44140625" style="52"/>
    <col min="16362" max="16362" width="11.44140625" style="52" customWidth="1"/>
    <col min="16363" max="16384" width="11.44140625" style="52"/>
  </cols>
  <sheetData>
    <row r="1" spans="1:26" ht="44.4" x14ac:dyDescent="0.7">
      <c r="E1" s="59" t="s">
        <v>49</v>
      </c>
    </row>
    <row r="2" spans="1:26" ht="24" customHeight="1" x14ac:dyDescent="0.25"/>
    <row r="3" spans="1:26" s="56" customFormat="1" ht="42" customHeight="1" x14ac:dyDescent="0.7">
      <c r="D3" s="57"/>
      <c r="E3" s="58"/>
      <c r="F3" s="58"/>
      <c r="G3" s="58"/>
      <c r="H3" s="62"/>
      <c r="I3" s="61"/>
      <c r="J3" s="61"/>
      <c r="K3" s="61"/>
      <c r="L3" s="62"/>
      <c r="M3" s="61"/>
      <c r="N3" s="61"/>
      <c r="O3" s="61"/>
      <c r="P3" s="62"/>
      <c r="Q3" s="61"/>
      <c r="R3" s="61"/>
      <c r="S3" s="60"/>
      <c r="T3" s="60"/>
    </row>
    <row r="4" spans="1:26" ht="15.75" customHeight="1" x14ac:dyDescent="0.25">
      <c r="U4" s="140"/>
    </row>
    <row r="5" spans="1:26" ht="19.5" customHeight="1" x14ac:dyDescent="0.25">
      <c r="U5" s="140"/>
    </row>
    <row r="6" spans="1:26" ht="15.75" customHeight="1" x14ac:dyDescent="0.25">
      <c r="U6" s="140"/>
    </row>
    <row r="7" spans="1:26" s="50" customFormat="1" ht="20.25" customHeight="1" x14ac:dyDescent="0.25">
      <c r="H7" s="141"/>
      <c r="L7" s="141"/>
      <c r="P7" s="141"/>
    </row>
    <row r="8" spans="1:26" s="50" customFormat="1" ht="20.25" customHeight="1" x14ac:dyDescent="0.25">
      <c r="H8" s="141"/>
      <c r="L8" s="141"/>
      <c r="P8" s="141"/>
      <c r="V8" s="151" t="s">
        <v>50</v>
      </c>
    </row>
    <row r="9" spans="1:26" s="50" customFormat="1" ht="19.5" customHeight="1" x14ac:dyDescent="0.25">
      <c r="H9" s="141"/>
      <c r="L9" s="141"/>
      <c r="P9" s="141"/>
      <c r="V9" s="152">
        <f>(C14+C15+C16+C17)/4</f>
        <v>10250000</v>
      </c>
    </row>
    <row r="10" spans="1:26" ht="16.5" customHeight="1" x14ac:dyDescent="0.25"/>
    <row r="11" spans="1:26" s="50" customFormat="1" ht="14.25" customHeight="1" x14ac:dyDescent="0.25">
      <c r="A11" s="239" t="s">
        <v>51</v>
      </c>
      <c r="B11" s="240"/>
      <c r="C11" s="241" t="s">
        <v>52</v>
      </c>
      <c r="D11" s="234"/>
      <c r="E11" s="232" t="s">
        <v>53</v>
      </c>
      <c r="F11" s="233"/>
      <c r="G11" s="234"/>
      <c r="H11" s="232" t="s">
        <v>54</v>
      </c>
      <c r="I11" s="233"/>
      <c r="J11" s="233"/>
      <c r="K11" s="233"/>
      <c r="L11" s="233"/>
      <c r="M11" s="233"/>
      <c r="N11" s="233"/>
      <c r="O11" s="233"/>
      <c r="P11" s="233"/>
      <c r="Q11" s="233"/>
      <c r="R11" s="233"/>
      <c r="S11" s="232" t="s">
        <v>55</v>
      </c>
      <c r="T11" s="234"/>
      <c r="U11" s="144"/>
      <c r="V11" s="256" t="s">
        <v>56</v>
      </c>
      <c r="W11" s="232" t="s">
        <v>57</v>
      </c>
      <c r="X11" s="259" t="s">
        <v>58</v>
      </c>
    </row>
    <row r="12" spans="1:26" s="50" customFormat="1" ht="40.5" customHeight="1" x14ac:dyDescent="0.25">
      <c r="A12" s="199"/>
      <c r="B12" s="142"/>
      <c r="C12" s="242"/>
      <c r="D12" s="243"/>
      <c r="E12" s="198" t="str">
        <f>Wertungsmatrix!E5</f>
        <v>Nachhaltigkeit 1)</v>
      </c>
      <c r="F12" s="198" t="str">
        <f>Wertungsmatrix!G5</f>
        <v xml:space="preserve">Stillstandszeit 1)
</v>
      </c>
      <c r="G12" s="198">
        <f>Wertungsmatrix!I5</f>
        <v>0</v>
      </c>
      <c r="H12" s="143"/>
      <c r="I12" s="143"/>
      <c r="J12" s="143"/>
      <c r="K12" s="143"/>
      <c r="L12" s="143"/>
      <c r="M12" s="143"/>
      <c r="N12" s="143"/>
      <c r="O12" s="143"/>
      <c r="P12" s="143"/>
      <c r="Q12" s="143"/>
      <c r="R12" s="143"/>
      <c r="S12" s="253"/>
      <c r="T12" s="243"/>
      <c r="V12" s="257"/>
      <c r="W12" s="253"/>
      <c r="X12" s="260"/>
    </row>
    <row r="13" spans="1:26" s="50" customFormat="1" ht="14.25" customHeight="1" x14ac:dyDescent="0.25">
      <c r="A13" s="235" t="s">
        <v>59</v>
      </c>
      <c r="B13" s="236"/>
      <c r="C13" s="237">
        <f>Wertungsmatrix!E3/100</f>
        <v>0.85</v>
      </c>
      <c r="D13" s="238">
        <f>Wertungsmatrix!D3/100</f>
        <v>0</v>
      </c>
      <c r="E13" s="63">
        <f>Wertungsmatrix!E2/100</f>
        <v>0.05</v>
      </c>
      <c r="F13" s="63">
        <f>Wertungsmatrix!G2/100</f>
        <v>0.1</v>
      </c>
      <c r="G13" s="63">
        <f>Wertungsmatrix!I2/100</f>
        <v>0</v>
      </c>
      <c r="H13" s="65"/>
      <c r="I13" s="64"/>
      <c r="J13" s="64"/>
      <c r="K13" s="64"/>
      <c r="L13" s="65"/>
      <c r="M13" s="64"/>
      <c r="N13" s="64"/>
      <c r="O13" s="64"/>
      <c r="P13" s="65"/>
      <c r="Q13" s="64"/>
      <c r="R13" s="64"/>
      <c r="S13" s="254"/>
      <c r="T13" s="255"/>
      <c r="V13" s="258"/>
      <c r="W13" s="254"/>
      <c r="X13" s="261"/>
    </row>
    <row r="14" spans="1:26" s="50" customFormat="1" ht="18" customHeight="1" x14ac:dyDescent="0.25">
      <c r="A14" s="245" t="s">
        <v>60</v>
      </c>
      <c r="B14" s="246"/>
      <c r="C14" s="247">
        <v>9500000</v>
      </c>
      <c r="D14" s="248"/>
      <c r="E14" s="92">
        <f>IF(E$13=0,0,2)</f>
        <v>2</v>
      </c>
      <c r="F14" s="92">
        <f>IF(F$13=0,0,3)</f>
        <v>3</v>
      </c>
      <c r="G14" s="92">
        <f>IF(G$13=0,0,3)</f>
        <v>0</v>
      </c>
      <c r="H14" s="131">
        <f>E14</f>
        <v>2</v>
      </c>
      <c r="I14" s="153" t="s">
        <v>61</v>
      </c>
      <c r="J14" s="132">
        <f>$E$13</f>
        <v>0.05</v>
      </c>
      <c r="K14" s="131" t="s">
        <v>62</v>
      </c>
      <c r="L14" s="131">
        <f>F14</f>
        <v>3</v>
      </c>
      <c r="M14" s="153" t="s">
        <v>61</v>
      </c>
      <c r="N14" s="132">
        <f>$F$13</f>
        <v>0.1</v>
      </c>
      <c r="O14" s="131" t="s">
        <v>62</v>
      </c>
      <c r="P14" s="131">
        <f>G14</f>
        <v>0</v>
      </c>
      <c r="Q14" s="153" t="s">
        <v>61</v>
      </c>
      <c r="R14" s="160">
        <f>$G$13</f>
        <v>0</v>
      </c>
      <c r="S14" s="156" t="s">
        <v>63</v>
      </c>
      <c r="T14" s="157">
        <f>E14/5*E$13+F14/5*F$13+G14/5*G$13</f>
        <v>0.08</v>
      </c>
      <c r="V14" s="138">
        <f>$V$9*$T14</f>
        <v>820000</v>
      </c>
      <c r="W14" s="138">
        <f>C14-V14</f>
        <v>8680000</v>
      </c>
      <c r="X14" s="136">
        <f>RANK(W14,$W$14:$W$17,1)</f>
        <v>2</v>
      </c>
      <c r="Z14" s="50">
        <f>IF(X14=1,1,0)</f>
        <v>0</v>
      </c>
    </row>
    <row r="15" spans="1:26" ht="18" customHeight="1" x14ac:dyDescent="0.25">
      <c r="A15" s="245" t="s">
        <v>64</v>
      </c>
      <c r="B15" s="246"/>
      <c r="C15" s="247">
        <v>10500000</v>
      </c>
      <c r="D15" s="248"/>
      <c r="E15" s="92">
        <f>IF(E$13=0,0,4)</f>
        <v>4</v>
      </c>
      <c r="F15" s="92">
        <f>IF(F$13=0,0,2)</f>
        <v>2</v>
      </c>
      <c r="G15" s="92">
        <f>IF(G$13=0,0,2)</f>
        <v>0</v>
      </c>
      <c r="H15" s="131">
        <f>E15</f>
        <v>4</v>
      </c>
      <c r="I15" s="153" t="s">
        <v>61</v>
      </c>
      <c r="J15" s="132">
        <f>$E$13</f>
        <v>0.05</v>
      </c>
      <c r="K15" s="131" t="s">
        <v>62</v>
      </c>
      <c r="L15" s="131">
        <f>F15</f>
        <v>2</v>
      </c>
      <c r="M15" s="153" t="s">
        <v>61</v>
      </c>
      <c r="N15" s="132">
        <f>$F$13</f>
        <v>0.1</v>
      </c>
      <c r="O15" s="131" t="s">
        <v>62</v>
      </c>
      <c r="P15" s="131">
        <f>G15</f>
        <v>0</v>
      </c>
      <c r="Q15" s="153" t="s">
        <v>61</v>
      </c>
      <c r="R15" s="160">
        <f>$G$13</f>
        <v>0</v>
      </c>
      <c r="S15" s="156" t="s">
        <v>63</v>
      </c>
      <c r="T15" s="157">
        <f t="shared" ref="T15:T17" si="0">E15/5*E$13+F15/5*F$13+G15/5*G$13</f>
        <v>8.0000000000000016E-2</v>
      </c>
      <c r="V15" s="138">
        <f>$V$9*$T15</f>
        <v>820000.00000000012</v>
      </c>
      <c r="W15" s="138">
        <f>C15-V15</f>
        <v>9680000</v>
      </c>
      <c r="X15" s="136">
        <f t="shared" ref="X15:X17" si="1">RANK(W15,$W$14:$W$17,1)</f>
        <v>4</v>
      </c>
      <c r="Z15" s="52">
        <f>IF(X15=1,2,0)</f>
        <v>0</v>
      </c>
    </row>
    <row r="16" spans="1:26" ht="18" customHeight="1" x14ac:dyDescent="0.25">
      <c r="A16" s="245" t="s">
        <v>65</v>
      </c>
      <c r="B16" s="246"/>
      <c r="C16" s="247">
        <v>10000000</v>
      </c>
      <c r="D16" s="248"/>
      <c r="E16" s="92">
        <f>IF(E$13=0,0,5)</f>
        <v>5</v>
      </c>
      <c r="F16" s="92">
        <f t="shared" ref="E16:G17" si="2">IF(F$13=0,0,5)</f>
        <v>5</v>
      </c>
      <c r="G16" s="92">
        <f t="shared" si="2"/>
        <v>0</v>
      </c>
      <c r="H16" s="131">
        <f>E16</f>
        <v>5</v>
      </c>
      <c r="I16" s="153" t="s">
        <v>61</v>
      </c>
      <c r="J16" s="132">
        <f>$E$13</f>
        <v>0.05</v>
      </c>
      <c r="K16" s="131" t="s">
        <v>62</v>
      </c>
      <c r="L16" s="131">
        <f>F16</f>
        <v>5</v>
      </c>
      <c r="M16" s="153" t="s">
        <v>61</v>
      </c>
      <c r="N16" s="132">
        <f>$F$13</f>
        <v>0.1</v>
      </c>
      <c r="O16" s="131" t="s">
        <v>62</v>
      </c>
      <c r="P16" s="131">
        <f>G16</f>
        <v>0</v>
      </c>
      <c r="Q16" s="153" t="s">
        <v>61</v>
      </c>
      <c r="R16" s="160">
        <f>$G$13</f>
        <v>0</v>
      </c>
      <c r="S16" s="156" t="s">
        <v>63</v>
      </c>
      <c r="T16" s="157">
        <f t="shared" si="0"/>
        <v>0.15000000000000002</v>
      </c>
      <c r="V16" s="138">
        <f>$V$9*$T16</f>
        <v>1537500.0000000002</v>
      </c>
      <c r="W16" s="138">
        <f>C16-V16</f>
        <v>8462500</v>
      </c>
      <c r="X16" s="136">
        <f t="shared" si="1"/>
        <v>1</v>
      </c>
      <c r="Z16" s="52">
        <f>IF(X16=1,3,0)</f>
        <v>3</v>
      </c>
    </row>
    <row r="17" spans="1:26" ht="18" customHeight="1" x14ac:dyDescent="0.25">
      <c r="A17" s="251" t="s">
        <v>66</v>
      </c>
      <c r="B17" s="252"/>
      <c r="C17" s="249">
        <v>11000000</v>
      </c>
      <c r="D17" s="250"/>
      <c r="E17" s="93">
        <f t="shared" si="2"/>
        <v>5</v>
      </c>
      <c r="F17" s="93">
        <f>IF(F$13=0,0,4)</f>
        <v>4</v>
      </c>
      <c r="G17" s="93">
        <f t="shared" si="2"/>
        <v>0</v>
      </c>
      <c r="H17" s="135">
        <f>E17</f>
        <v>5</v>
      </c>
      <c r="I17" s="155" t="s">
        <v>61</v>
      </c>
      <c r="J17" s="134">
        <f>$E$13</f>
        <v>0.05</v>
      </c>
      <c r="K17" s="133" t="s">
        <v>62</v>
      </c>
      <c r="L17" s="133">
        <f>F17</f>
        <v>4</v>
      </c>
      <c r="M17" s="155" t="s">
        <v>61</v>
      </c>
      <c r="N17" s="134">
        <f>$F$13</f>
        <v>0.1</v>
      </c>
      <c r="O17" s="133" t="s">
        <v>62</v>
      </c>
      <c r="P17" s="133">
        <f>G17</f>
        <v>0</v>
      </c>
      <c r="Q17" s="155" t="s">
        <v>61</v>
      </c>
      <c r="R17" s="161">
        <f>$G$13</f>
        <v>0</v>
      </c>
      <c r="S17" s="158" t="s">
        <v>63</v>
      </c>
      <c r="T17" s="159">
        <f t="shared" si="0"/>
        <v>0.13</v>
      </c>
      <c r="U17" s="149"/>
      <c r="V17" s="139">
        <f>$V$9*$T17</f>
        <v>1332500</v>
      </c>
      <c r="W17" s="139">
        <f>C17-V17</f>
        <v>9667500</v>
      </c>
      <c r="X17" s="137">
        <f t="shared" si="1"/>
        <v>3</v>
      </c>
      <c r="Z17" s="52">
        <f>IF(X17=1,4,0)</f>
        <v>0</v>
      </c>
    </row>
    <row r="18" spans="1:26" ht="18" customHeight="1" x14ac:dyDescent="0.25">
      <c r="E18" s="50"/>
      <c r="F18" s="50"/>
      <c r="G18" s="50"/>
    </row>
    <row r="19" spans="1:26" ht="18" customHeight="1" x14ac:dyDescent="0.25">
      <c r="E19" s="146"/>
      <c r="F19" s="146"/>
      <c r="G19" s="50"/>
      <c r="H19" s="141"/>
      <c r="I19" s="50"/>
      <c r="J19" s="50"/>
      <c r="K19" s="50"/>
      <c r="L19" s="141"/>
      <c r="M19" s="50"/>
      <c r="N19" s="50"/>
      <c r="O19" s="50"/>
      <c r="P19" s="141"/>
      <c r="Q19" s="50"/>
      <c r="R19" s="50"/>
      <c r="S19" s="50"/>
      <c r="T19" s="50"/>
    </row>
    <row r="20" spans="1:26" ht="18" customHeight="1" x14ac:dyDescent="0.25">
      <c r="A20" s="66" t="s">
        <v>67</v>
      </c>
      <c r="B20" s="67"/>
      <c r="E20" s="146"/>
      <c r="F20" s="146"/>
      <c r="G20" s="50"/>
      <c r="H20" s="141"/>
      <c r="I20" s="50"/>
      <c r="J20" s="50"/>
      <c r="K20" s="50"/>
      <c r="L20" s="141"/>
      <c r="M20" s="50"/>
      <c r="N20" s="50"/>
      <c r="O20" s="50"/>
      <c r="P20" s="52"/>
      <c r="Q20" s="50"/>
      <c r="S20" s="154"/>
      <c r="T20" s="147"/>
      <c r="V20" s="230" t="s">
        <v>68</v>
      </c>
      <c r="W20" s="231"/>
      <c r="X20" s="150">
        <f>SUM(Z14:Z17)</f>
        <v>3</v>
      </c>
    </row>
    <row r="21" spans="1:26" ht="18" customHeight="1" x14ac:dyDescent="0.25">
      <c r="A21" s="145"/>
      <c r="B21" s="50"/>
      <c r="E21" s="146"/>
      <c r="F21" s="146"/>
      <c r="G21" s="50"/>
      <c r="H21" s="141"/>
      <c r="I21" s="50"/>
      <c r="J21" s="50"/>
      <c r="K21" s="50"/>
      <c r="L21" s="141"/>
      <c r="M21" s="50"/>
      <c r="N21" s="50"/>
      <c r="O21" s="50"/>
      <c r="P21" s="141"/>
      <c r="Q21" s="50"/>
      <c r="R21" s="50"/>
      <c r="S21" s="50"/>
      <c r="T21" s="148"/>
    </row>
    <row r="22" spans="1:26" x14ac:dyDescent="0.25">
      <c r="A22" s="145"/>
      <c r="B22" s="50"/>
    </row>
    <row r="23" spans="1:26" x14ac:dyDescent="0.25">
      <c r="E23" s="56"/>
      <c r="F23" s="56"/>
      <c r="G23" s="244"/>
      <c r="H23" s="244"/>
      <c r="I23" s="244"/>
      <c r="J23" s="244"/>
      <c r="K23" s="244"/>
      <c r="L23" s="244"/>
      <c r="M23" s="244"/>
      <c r="N23" s="244"/>
      <c r="O23" s="244"/>
      <c r="P23" s="244"/>
      <c r="Q23" s="244"/>
      <c r="R23" s="244"/>
      <c r="S23" s="56"/>
      <c r="T23" s="56"/>
    </row>
    <row r="24" spans="1:26" x14ac:dyDescent="0.25">
      <c r="E24" s="56"/>
      <c r="F24" s="56"/>
      <c r="G24" s="244"/>
      <c r="H24" s="244"/>
      <c r="I24" s="244"/>
      <c r="J24" s="244"/>
      <c r="K24" s="244"/>
      <c r="L24" s="244"/>
      <c r="M24" s="244"/>
      <c r="N24" s="244"/>
      <c r="O24" s="244"/>
      <c r="P24" s="244"/>
      <c r="Q24" s="244"/>
      <c r="R24" s="244"/>
      <c r="S24" s="56"/>
      <c r="T24" s="56"/>
    </row>
    <row r="25" spans="1:26" x14ac:dyDescent="0.25">
      <c r="D25" s="56"/>
      <c r="E25" s="56"/>
      <c r="F25" s="56"/>
      <c r="G25" s="244"/>
      <c r="H25" s="244"/>
      <c r="I25" s="244"/>
      <c r="J25" s="244"/>
      <c r="K25" s="244"/>
      <c r="L25" s="244"/>
      <c r="M25" s="244"/>
      <c r="N25" s="244"/>
      <c r="O25" s="244"/>
      <c r="P25" s="244"/>
      <c r="Q25" s="244"/>
      <c r="R25" s="244"/>
      <c r="S25" s="56"/>
      <c r="T25" s="56"/>
    </row>
    <row r="26" spans="1:26" x14ac:dyDescent="0.25">
      <c r="G26" s="244"/>
      <c r="H26" s="244"/>
      <c r="I26" s="244"/>
      <c r="J26" s="244"/>
      <c r="K26" s="244"/>
      <c r="L26" s="244"/>
      <c r="M26" s="244"/>
      <c r="N26" s="244"/>
      <c r="O26" s="244"/>
      <c r="P26" s="244"/>
      <c r="Q26" s="244"/>
      <c r="R26" s="244"/>
    </row>
    <row r="27" spans="1:26" x14ac:dyDescent="0.25">
      <c r="D27" s="56"/>
    </row>
  </sheetData>
  <sheetProtection selectLockedCells="1"/>
  <mergeCells count="20">
    <mergeCell ref="X11:X13"/>
    <mergeCell ref="G23:R26"/>
    <mergeCell ref="A14:B14"/>
    <mergeCell ref="C14:D14"/>
    <mergeCell ref="A15:B15"/>
    <mergeCell ref="C15:D15"/>
    <mergeCell ref="A16:B16"/>
    <mergeCell ref="C16:D16"/>
    <mergeCell ref="C17:D17"/>
    <mergeCell ref="A17:B17"/>
    <mergeCell ref="V20:W20"/>
    <mergeCell ref="E11:G11"/>
    <mergeCell ref="A13:B13"/>
    <mergeCell ref="C13:D13"/>
    <mergeCell ref="A11:B11"/>
    <mergeCell ref="C11:D12"/>
    <mergeCell ref="S11:T13"/>
    <mergeCell ref="H11:R11"/>
    <mergeCell ref="V11:V13"/>
    <mergeCell ref="W11:W13"/>
  </mergeCells>
  <conditionalFormatting sqref="T14:T17">
    <cfRule type="expression" dxfId="0" priority="2" stopIfTrue="1">
      <formula>IF(T14=#REF!,T14,)</formula>
    </cfRule>
  </conditionalFormatting>
  <pageMargins left="0.74803149606299213" right="0.6692913385826772" top="1.3779527559055118" bottom="0.98425196850393704" header="0.94488188976377963" footer="0.43307086614173229"/>
  <pageSetup paperSize="9" scale="85" orientation="landscape" horizontalDpi="300" verticalDpi="300" r:id="rId1"/>
  <headerFooter alignWithMargins="0">
    <oddHeader>&amp;L&amp;"Arial,Fett"&amp;14 21FEA52724, RV Fahrtreppen
Berechnungsbeispiel</oddHeader>
    <oddFooter>&amp;L&amp;"Arial,Fett"&amp;9Berechnung&amp;RGültig ab: 02.01.2019</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C3746C-B7F4-4FD9-8A53-4EF8D184CCD5}">
  <sheetPr>
    <pageSetUpPr fitToPage="1"/>
  </sheetPr>
  <dimension ref="A1:AC306"/>
  <sheetViews>
    <sheetView topLeftCell="G1" zoomScaleNormal="100" workbookViewId="0">
      <pane ySplit="3" topLeftCell="A4" activePane="bottomLeft" state="frozen"/>
      <selection pane="bottomLeft" activeCell="G207" sqref="G207:T249"/>
    </sheetView>
  </sheetViews>
  <sheetFormatPr baseColWidth="10" defaultColWidth="11.44140625" defaultRowHeight="14.4" x14ac:dyDescent="0.3"/>
  <cols>
    <col min="1" max="1" width="9.6640625" style="162" hidden="1" customWidth="1"/>
    <col min="2" max="2" width="6" style="162" hidden="1" customWidth="1"/>
    <col min="3" max="3" width="7.33203125" style="162" hidden="1" customWidth="1"/>
    <col min="4" max="4" width="6" style="162" hidden="1" customWidth="1"/>
    <col min="5" max="5" width="7.6640625" style="162" hidden="1" customWidth="1"/>
    <col min="6" max="6" width="5.5546875" style="162" hidden="1" customWidth="1"/>
    <col min="7" max="7" width="5.6640625" style="172" bestFit="1" customWidth="1"/>
    <col min="8" max="8" width="11.44140625" style="162"/>
    <col min="9" max="9" width="74.88671875" style="182" bestFit="1" customWidth="1"/>
    <col min="10" max="10" width="11.109375" style="172" bestFit="1" customWidth="1"/>
    <col min="11" max="17" width="10.6640625" style="162" customWidth="1"/>
    <col min="18" max="20" width="11.44140625" style="162"/>
    <col min="21" max="21" width="39.5546875" style="162" bestFit="1" customWidth="1"/>
    <col min="22" max="22" width="11.44140625" style="162"/>
    <col min="23" max="23" width="17.5546875" style="162" bestFit="1" customWidth="1"/>
    <col min="24" max="24" width="19.5546875" style="162" bestFit="1" customWidth="1"/>
    <col min="25" max="16384" width="11.44140625" style="162"/>
  </cols>
  <sheetData>
    <row r="1" spans="1:29" x14ac:dyDescent="0.3">
      <c r="G1" s="163"/>
      <c r="H1" s="164"/>
      <c r="I1" s="165"/>
      <c r="J1" s="163"/>
      <c r="K1" s="262" t="s">
        <v>60</v>
      </c>
      <c r="L1" s="262"/>
      <c r="M1" s="262" t="s">
        <v>64</v>
      </c>
      <c r="N1" s="262"/>
      <c r="O1" s="262" t="s">
        <v>65</v>
      </c>
      <c r="P1" s="262"/>
      <c r="Q1" s="262" t="s">
        <v>66</v>
      </c>
      <c r="R1" s="262"/>
      <c r="S1" s="262" t="s">
        <v>69</v>
      </c>
      <c r="T1" s="264"/>
      <c r="U1" s="202" t="s">
        <v>70</v>
      </c>
    </row>
    <row r="2" spans="1:29" s="166" customFormat="1" ht="28.8" x14ac:dyDescent="0.3">
      <c r="A2" s="166" t="s">
        <v>71</v>
      </c>
      <c r="B2" s="166" t="s">
        <v>72</v>
      </c>
      <c r="C2" s="166" t="s">
        <v>73</v>
      </c>
      <c r="D2" s="166" t="s">
        <v>74</v>
      </c>
      <c r="E2" s="166" t="s">
        <v>75</v>
      </c>
      <c r="F2" s="166" t="s">
        <v>76</v>
      </c>
      <c r="G2" s="200" t="s">
        <v>77</v>
      </c>
      <c r="H2" s="167" t="s">
        <v>78</v>
      </c>
      <c r="I2" s="168" t="s">
        <v>72</v>
      </c>
      <c r="J2" s="169" t="s">
        <v>79</v>
      </c>
      <c r="K2" s="167" t="s">
        <v>80</v>
      </c>
      <c r="L2" s="170" t="s">
        <v>81</v>
      </c>
      <c r="M2" s="167" t="s">
        <v>80</v>
      </c>
      <c r="N2" s="170" t="s">
        <v>81</v>
      </c>
      <c r="O2" s="167" t="s">
        <v>80</v>
      </c>
      <c r="P2" s="170" t="s">
        <v>81</v>
      </c>
      <c r="Q2" s="167" t="s">
        <v>80</v>
      </c>
      <c r="R2" s="170" t="s">
        <v>81</v>
      </c>
      <c r="S2" s="167" t="s">
        <v>80</v>
      </c>
      <c r="T2" s="170" t="s">
        <v>81</v>
      </c>
      <c r="X2" s="166" t="s">
        <v>82</v>
      </c>
    </row>
    <row r="3" spans="1:29" hidden="1" x14ac:dyDescent="0.3">
      <c r="A3" s="162" t="s">
        <v>83</v>
      </c>
      <c r="B3" s="162" t="s">
        <v>84</v>
      </c>
      <c r="C3" s="162" t="s">
        <v>85</v>
      </c>
      <c r="D3" s="162">
        <v>105</v>
      </c>
      <c r="E3" s="171">
        <v>3385</v>
      </c>
      <c r="F3" s="162">
        <v>355425</v>
      </c>
      <c r="G3" s="163"/>
      <c r="H3" s="164"/>
      <c r="I3" s="165" t="s">
        <v>86</v>
      </c>
      <c r="J3" s="163"/>
      <c r="K3" s="164"/>
      <c r="L3" s="164"/>
      <c r="M3" s="164"/>
      <c r="N3" s="164"/>
      <c r="O3" s="164"/>
      <c r="P3" s="164"/>
      <c r="Q3" s="164"/>
      <c r="R3" s="164"/>
      <c r="S3" s="164"/>
      <c r="T3" s="164"/>
    </row>
    <row r="4" spans="1:29" x14ac:dyDescent="0.3">
      <c r="A4" s="162" t="s">
        <v>87</v>
      </c>
      <c r="B4" s="162" t="s">
        <v>88</v>
      </c>
      <c r="C4" s="162" t="s">
        <v>89</v>
      </c>
      <c r="D4" s="162">
        <v>1800</v>
      </c>
      <c r="E4" s="171">
        <v>1</v>
      </c>
      <c r="F4" s="162">
        <f t="shared" ref="F4:F33" si="0">+E4*D4</f>
        <v>1800</v>
      </c>
      <c r="G4" s="163">
        <v>1</v>
      </c>
      <c r="H4" s="164" t="s">
        <v>90</v>
      </c>
      <c r="I4" s="165" t="s">
        <v>88</v>
      </c>
      <c r="J4" s="163">
        <v>2</v>
      </c>
      <c r="K4" s="164"/>
      <c r="L4" s="164">
        <f>J4*K4</f>
        <v>0</v>
      </c>
      <c r="M4" s="164"/>
      <c r="N4" s="164">
        <f>J4*M4</f>
        <v>0</v>
      </c>
      <c r="O4" s="164"/>
      <c r="P4" s="164">
        <f>J4*O4</f>
        <v>0</v>
      </c>
      <c r="Q4" s="164"/>
      <c r="R4" s="164">
        <f>J4*Q4</f>
        <v>0</v>
      </c>
      <c r="S4" s="164"/>
      <c r="T4" s="164">
        <f>J4*S4</f>
        <v>0</v>
      </c>
      <c r="U4" s="202" t="s">
        <v>91</v>
      </c>
    </row>
    <row r="5" spans="1:29" x14ac:dyDescent="0.3">
      <c r="A5" s="162" t="s">
        <v>92</v>
      </c>
      <c r="B5" s="162" t="s">
        <v>88</v>
      </c>
      <c r="C5" s="162" t="s">
        <v>89</v>
      </c>
      <c r="D5" s="162">
        <v>1800</v>
      </c>
      <c r="E5" s="171">
        <v>79</v>
      </c>
      <c r="F5" s="162">
        <f t="shared" si="0"/>
        <v>142200</v>
      </c>
      <c r="G5" s="163">
        <v>1</v>
      </c>
      <c r="H5" s="164" t="s">
        <v>93</v>
      </c>
      <c r="I5" s="165" t="s">
        <v>88</v>
      </c>
      <c r="J5" s="163">
        <v>2</v>
      </c>
      <c r="K5" s="164"/>
      <c r="L5" s="164">
        <f t="shared" ref="L5:L11" si="1">J5*K5</f>
        <v>0</v>
      </c>
      <c r="M5" s="164"/>
      <c r="N5" s="164">
        <f t="shared" ref="N5:N11" si="2">J5*M5</f>
        <v>0</v>
      </c>
      <c r="O5" s="164"/>
      <c r="P5" s="164">
        <f t="shared" ref="P5:P11" si="3">J5*O5</f>
        <v>0</v>
      </c>
      <c r="Q5" s="164"/>
      <c r="R5" s="164">
        <f t="shared" ref="R5:R11" si="4">J5*Q5</f>
        <v>0</v>
      </c>
      <c r="S5" s="164"/>
      <c r="T5" s="164">
        <f t="shared" ref="T5:T11" si="5">J5*S5</f>
        <v>0</v>
      </c>
      <c r="W5" s="202" t="s">
        <v>94</v>
      </c>
      <c r="X5" s="202" t="s">
        <v>60</v>
      </c>
      <c r="Y5" s="202" t="s">
        <v>64</v>
      </c>
      <c r="Z5" s="202" t="s">
        <v>95</v>
      </c>
      <c r="AA5" s="202" t="s">
        <v>96</v>
      </c>
      <c r="AB5" s="202" t="s">
        <v>96</v>
      </c>
      <c r="AC5" s="202" t="s">
        <v>97</v>
      </c>
    </row>
    <row r="6" spans="1:29" x14ac:dyDescent="0.3">
      <c r="A6" s="162" t="s">
        <v>98</v>
      </c>
      <c r="B6" s="162" t="s">
        <v>88</v>
      </c>
      <c r="C6" s="162" t="s">
        <v>89</v>
      </c>
      <c r="D6" s="162">
        <v>1800</v>
      </c>
      <c r="E6" s="171">
        <v>0</v>
      </c>
      <c r="F6" s="162">
        <f t="shared" si="0"/>
        <v>0</v>
      </c>
      <c r="G6" s="163">
        <v>1</v>
      </c>
      <c r="H6" s="164" t="s">
        <v>99</v>
      </c>
      <c r="I6" s="165" t="s">
        <v>88</v>
      </c>
      <c r="J6" s="163">
        <v>2</v>
      </c>
      <c r="K6" s="164"/>
      <c r="L6" s="164">
        <f t="shared" si="1"/>
        <v>0</v>
      </c>
      <c r="M6" s="164"/>
      <c r="N6" s="164">
        <f t="shared" si="2"/>
        <v>0</v>
      </c>
      <c r="O6" s="164"/>
      <c r="P6" s="164">
        <f t="shared" si="3"/>
        <v>0</v>
      </c>
      <c r="Q6" s="164"/>
      <c r="R6" s="164">
        <f t="shared" si="4"/>
        <v>0</v>
      </c>
      <c r="S6" s="164"/>
      <c r="T6" s="164">
        <f t="shared" si="5"/>
        <v>0</v>
      </c>
      <c r="W6" s="202" t="s">
        <v>100</v>
      </c>
      <c r="X6" s="202" t="s">
        <v>101</v>
      </c>
    </row>
    <row r="7" spans="1:29" x14ac:dyDescent="0.3">
      <c r="A7" s="162" t="s">
        <v>102</v>
      </c>
      <c r="B7" s="162" t="s">
        <v>103</v>
      </c>
      <c r="C7" s="162" t="s">
        <v>104</v>
      </c>
      <c r="D7" s="162">
        <v>320</v>
      </c>
      <c r="E7" s="171">
        <v>690.11399999999992</v>
      </c>
      <c r="F7" s="162">
        <f t="shared" si="0"/>
        <v>220836.47999999998</v>
      </c>
      <c r="G7" s="163">
        <v>1</v>
      </c>
      <c r="H7" s="164" t="s">
        <v>105</v>
      </c>
      <c r="I7" s="165" t="s">
        <v>88</v>
      </c>
      <c r="J7" s="163">
        <v>2</v>
      </c>
      <c r="K7" s="164"/>
      <c r="L7" s="164">
        <f t="shared" si="1"/>
        <v>0</v>
      </c>
      <c r="M7" s="164"/>
      <c r="N7" s="164">
        <f t="shared" si="2"/>
        <v>0</v>
      </c>
      <c r="O7" s="164"/>
      <c r="P7" s="164">
        <f t="shared" si="3"/>
        <v>0</v>
      </c>
      <c r="Q7" s="164"/>
      <c r="R7" s="164">
        <f t="shared" si="4"/>
        <v>0</v>
      </c>
      <c r="S7" s="164"/>
      <c r="T7" s="164">
        <f t="shared" si="5"/>
        <v>0</v>
      </c>
      <c r="W7" s="202" t="s">
        <v>106</v>
      </c>
    </row>
    <row r="8" spans="1:29" x14ac:dyDescent="0.3">
      <c r="A8" s="162" t="s">
        <v>107</v>
      </c>
      <c r="B8" s="162" t="s">
        <v>108</v>
      </c>
      <c r="C8" s="162" t="s">
        <v>89</v>
      </c>
      <c r="D8" s="162">
        <v>81164</v>
      </c>
      <c r="E8" s="171">
        <v>13</v>
      </c>
      <c r="F8" s="162">
        <f t="shared" si="0"/>
        <v>1055132</v>
      </c>
      <c r="G8" s="163">
        <v>1</v>
      </c>
      <c r="H8" s="164" t="s">
        <v>109</v>
      </c>
      <c r="I8" s="165" t="s">
        <v>88</v>
      </c>
      <c r="J8" s="163">
        <v>2</v>
      </c>
      <c r="K8" s="164"/>
      <c r="L8" s="164">
        <f t="shared" si="1"/>
        <v>0</v>
      </c>
      <c r="M8" s="164"/>
      <c r="N8" s="164">
        <f t="shared" si="2"/>
        <v>0</v>
      </c>
      <c r="O8" s="164"/>
      <c r="P8" s="164">
        <f t="shared" si="3"/>
        <v>0</v>
      </c>
      <c r="Q8" s="164"/>
      <c r="R8" s="164">
        <f t="shared" si="4"/>
        <v>0</v>
      </c>
      <c r="S8" s="164"/>
      <c r="T8" s="164">
        <f t="shared" si="5"/>
        <v>0</v>
      </c>
      <c r="W8" s="202" t="s">
        <v>110</v>
      </c>
    </row>
    <row r="9" spans="1:29" hidden="1" x14ac:dyDescent="0.3">
      <c r="A9" s="162" t="s">
        <v>111</v>
      </c>
      <c r="B9" s="162" t="s">
        <v>112</v>
      </c>
      <c r="C9" s="162" t="s">
        <v>85</v>
      </c>
      <c r="D9" s="162">
        <v>220</v>
      </c>
      <c r="E9" s="171">
        <v>609</v>
      </c>
      <c r="F9" s="162">
        <f t="shared" si="0"/>
        <v>133980</v>
      </c>
      <c r="G9" s="163">
        <v>1</v>
      </c>
      <c r="H9" s="164" t="s">
        <v>113</v>
      </c>
      <c r="I9" s="165" t="s">
        <v>114</v>
      </c>
      <c r="J9" s="163">
        <v>3</v>
      </c>
      <c r="K9" s="164"/>
      <c r="L9" s="164">
        <f t="shared" si="1"/>
        <v>0</v>
      </c>
      <c r="M9" s="164"/>
      <c r="N9" s="164">
        <f t="shared" si="2"/>
        <v>0</v>
      </c>
      <c r="O9" s="164"/>
      <c r="P9" s="164">
        <f t="shared" si="3"/>
        <v>0</v>
      </c>
      <c r="Q9" s="164"/>
      <c r="R9" s="164">
        <f t="shared" si="4"/>
        <v>0</v>
      </c>
      <c r="S9" s="164"/>
      <c r="T9" s="164">
        <f t="shared" si="5"/>
        <v>0</v>
      </c>
      <c r="W9" s="202" t="s">
        <v>115</v>
      </c>
    </row>
    <row r="10" spans="1:29" hidden="1" x14ac:dyDescent="0.3">
      <c r="A10" s="162" t="s">
        <v>116</v>
      </c>
      <c r="B10" s="162" t="s">
        <v>117</v>
      </c>
      <c r="C10" s="162" t="s">
        <v>85</v>
      </c>
      <c r="D10" s="162">
        <v>130</v>
      </c>
      <c r="E10" s="171">
        <v>588.3720000000003</v>
      </c>
      <c r="F10" s="162">
        <f t="shared" si="0"/>
        <v>76488.360000000044</v>
      </c>
      <c r="G10" s="163">
        <v>1</v>
      </c>
      <c r="H10" s="164" t="s">
        <v>118</v>
      </c>
      <c r="I10" s="165" t="s">
        <v>112</v>
      </c>
      <c r="J10" s="163"/>
      <c r="K10" s="164"/>
      <c r="L10" s="164">
        <f t="shared" si="1"/>
        <v>0</v>
      </c>
      <c r="M10" s="164"/>
      <c r="N10" s="164">
        <f t="shared" si="2"/>
        <v>0</v>
      </c>
      <c r="O10" s="164"/>
      <c r="P10" s="164">
        <f t="shared" si="3"/>
        <v>0</v>
      </c>
      <c r="Q10" s="164"/>
      <c r="R10" s="164">
        <f t="shared" si="4"/>
        <v>0</v>
      </c>
      <c r="S10" s="164"/>
      <c r="T10" s="164">
        <f t="shared" si="5"/>
        <v>0</v>
      </c>
      <c r="W10" s="202" t="s">
        <v>119</v>
      </c>
    </row>
    <row r="11" spans="1:29" x14ac:dyDescent="0.3">
      <c r="A11" s="162" t="s">
        <v>120</v>
      </c>
      <c r="B11" s="162" t="s">
        <v>121</v>
      </c>
      <c r="C11" s="162" t="s">
        <v>85</v>
      </c>
      <c r="D11" s="162">
        <v>174</v>
      </c>
      <c r="E11" s="171">
        <v>1919.9250000000002</v>
      </c>
      <c r="F11" s="162">
        <f t="shared" si="0"/>
        <v>334066.95</v>
      </c>
      <c r="G11" s="163">
        <v>1</v>
      </c>
      <c r="H11" s="164" t="s">
        <v>122</v>
      </c>
      <c r="I11" s="165" t="s">
        <v>123</v>
      </c>
      <c r="J11" s="163">
        <v>2</v>
      </c>
      <c r="K11" s="164"/>
      <c r="L11" s="164">
        <f t="shared" si="1"/>
        <v>0</v>
      </c>
      <c r="M11" s="164"/>
      <c r="N11" s="164">
        <f t="shared" si="2"/>
        <v>0</v>
      </c>
      <c r="O11" s="164"/>
      <c r="P11" s="164">
        <f t="shared" si="3"/>
        <v>0</v>
      </c>
      <c r="Q11" s="164"/>
      <c r="R11" s="164">
        <f t="shared" si="4"/>
        <v>0</v>
      </c>
      <c r="S11" s="164"/>
      <c r="T11" s="164">
        <f t="shared" si="5"/>
        <v>0</v>
      </c>
      <c r="W11" s="202" t="s">
        <v>124</v>
      </c>
    </row>
    <row r="12" spans="1:29" x14ac:dyDescent="0.3">
      <c r="A12" s="162" t="s">
        <v>125</v>
      </c>
      <c r="B12" s="162" t="s">
        <v>126</v>
      </c>
      <c r="C12" s="162" t="s">
        <v>85</v>
      </c>
      <c r="D12" s="162">
        <v>450</v>
      </c>
      <c r="E12" s="171">
        <v>747.42539999999997</v>
      </c>
      <c r="F12" s="162">
        <f t="shared" si="0"/>
        <v>336341.43</v>
      </c>
      <c r="G12" s="163">
        <v>1</v>
      </c>
      <c r="H12" s="164" t="s">
        <v>127</v>
      </c>
      <c r="I12" s="165" t="s">
        <v>128</v>
      </c>
      <c r="J12" s="163">
        <v>2</v>
      </c>
      <c r="K12" s="164"/>
      <c r="L12" s="164">
        <f>J12*K12</f>
        <v>0</v>
      </c>
      <c r="M12" s="164"/>
      <c r="N12" s="164">
        <f>J12*M12</f>
        <v>0</v>
      </c>
      <c r="O12" s="164"/>
      <c r="P12" s="164">
        <f>J12*O12</f>
        <v>0</v>
      </c>
      <c r="Q12" s="164"/>
      <c r="R12" s="164">
        <f>J12*Q12</f>
        <v>0</v>
      </c>
      <c r="S12" s="164"/>
      <c r="T12" s="164">
        <f>J12*S12</f>
        <v>0</v>
      </c>
      <c r="W12" s="202" t="s">
        <v>129</v>
      </c>
    </row>
    <row r="13" spans="1:29" x14ac:dyDescent="0.3">
      <c r="A13" s="162" t="s">
        <v>130</v>
      </c>
      <c r="B13" s="162" t="s">
        <v>131</v>
      </c>
      <c r="C13" s="162" t="s">
        <v>85</v>
      </c>
      <c r="D13" s="162">
        <v>190</v>
      </c>
      <c r="E13" s="171">
        <v>454.51100000000002</v>
      </c>
      <c r="F13" s="162">
        <f t="shared" si="0"/>
        <v>86357.090000000011</v>
      </c>
      <c r="G13" s="163">
        <v>1</v>
      </c>
      <c r="H13" s="164" t="s">
        <v>132</v>
      </c>
      <c r="I13" s="165" t="s">
        <v>133</v>
      </c>
      <c r="J13" s="163">
        <v>2</v>
      </c>
      <c r="K13" s="164"/>
      <c r="L13" s="164">
        <v>0</v>
      </c>
      <c r="M13" s="164"/>
      <c r="N13" s="164">
        <v>0</v>
      </c>
      <c r="O13" s="164"/>
      <c r="P13" s="164">
        <v>0</v>
      </c>
      <c r="Q13" s="164"/>
      <c r="R13" s="164">
        <v>0</v>
      </c>
      <c r="S13" s="164"/>
      <c r="T13" s="164">
        <v>0</v>
      </c>
      <c r="W13" s="202" t="s">
        <v>134</v>
      </c>
    </row>
    <row r="14" spans="1:29" x14ac:dyDescent="0.3">
      <c r="A14" s="162" t="s">
        <v>135</v>
      </c>
      <c r="B14" s="162" t="s">
        <v>136</v>
      </c>
      <c r="C14" s="162" t="s">
        <v>89</v>
      </c>
      <c r="D14" s="162">
        <v>196</v>
      </c>
      <c r="E14" s="171">
        <v>9</v>
      </c>
      <c r="F14" s="162">
        <f t="shared" si="0"/>
        <v>1764</v>
      </c>
      <c r="G14" s="163">
        <v>1</v>
      </c>
      <c r="H14" s="164" t="s">
        <v>137</v>
      </c>
      <c r="I14" s="165" t="s">
        <v>138</v>
      </c>
      <c r="J14" s="163">
        <v>2</v>
      </c>
      <c r="K14" s="164"/>
      <c r="L14" s="164">
        <f>J14*K14</f>
        <v>0</v>
      </c>
      <c r="M14" s="164"/>
      <c r="N14" s="164">
        <f>J14*M14</f>
        <v>0</v>
      </c>
      <c r="O14" s="164"/>
      <c r="P14" s="164">
        <f>J14*O14</f>
        <v>0</v>
      </c>
      <c r="Q14" s="164"/>
      <c r="R14" s="164">
        <f>J14*Q14</f>
        <v>0</v>
      </c>
      <c r="S14" s="164"/>
      <c r="T14" s="164">
        <f>J14*S14</f>
        <v>0</v>
      </c>
      <c r="W14" s="202" t="s">
        <v>139</v>
      </c>
    </row>
    <row r="15" spans="1:29" x14ac:dyDescent="0.3">
      <c r="A15" s="162" t="s">
        <v>140</v>
      </c>
      <c r="B15" s="162" t="s">
        <v>141</v>
      </c>
      <c r="C15" s="162" t="s">
        <v>142</v>
      </c>
      <c r="D15" s="162">
        <v>100</v>
      </c>
      <c r="E15" s="171">
        <v>911</v>
      </c>
      <c r="F15" s="162">
        <f t="shared" si="0"/>
        <v>91100</v>
      </c>
      <c r="G15" s="163">
        <v>1</v>
      </c>
      <c r="H15" s="164" t="s">
        <v>143</v>
      </c>
      <c r="I15" s="165" t="s">
        <v>144</v>
      </c>
      <c r="J15" s="163">
        <v>2</v>
      </c>
      <c r="K15" s="164"/>
      <c r="L15" s="164">
        <f>J15*K15</f>
        <v>0</v>
      </c>
      <c r="M15" s="164"/>
      <c r="N15" s="164">
        <f>J15*M15</f>
        <v>0</v>
      </c>
      <c r="O15" s="164"/>
      <c r="P15" s="164">
        <f>J15*O15</f>
        <v>0</v>
      </c>
      <c r="Q15" s="164"/>
      <c r="R15" s="164">
        <f>J15*Q15</f>
        <v>0</v>
      </c>
      <c r="S15" s="164"/>
      <c r="T15" s="164">
        <f>J15*S15</f>
        <v>0</v>
      </c>
      <c r="W15" s="202" t="s">
        <v>145</v>
      </c>
    </row>
    <row r="16" spans="1:29" x14ac:dyDescent="0.3">
      <c r="A16" s="162" t="s">
        <v>146</v>
      </c>
      <c r="B16" s="162" t="s">
        <v>147</v>
      </c>
      <c r="C16" s="162" t="s">
        <v>89</v>
      </c>
      <c r="D16" s="162">
        <v>1350</v>
      </c>
      <c r="E16" s="171">
        <v>15</v>
      </c>
      <c r="F16" s="162">
        <f t="shared" si="0"/>
        <v>20250</v>
      </c>
      <c r="G16" s="163">
        <v>1</v>
      </c>
      <c r="H16" s="164" t="s">
        <v>148</v>
      </c>
      <c r="I16" s="165" t="s">
        <v>149</v>
      </c>
      <c r="J16" s="163">
        <v>1</v>
      </c>
      <c r="K16" s="164"/>
      <c r="L16" s="164">
        <f>J16*K16</f>
        <v>0</v>
      </c>
      <c r="M16" s="164"/>
      <c r="N16" s="164">
        <f>J16*M16</f>
        <v>0</v>
      </c>
      <c r="O16" s="164"/>
      <c r="P16" s="164">
        <f>J16*O16</f>
        <v>0</v>
      </c>
      <c r="Q16" s="164"/>
      <c r="R16" s="164">
        <f>J16*Q16</f>
        <v>0</v>
      </c>
      <c r="S16" s="164"/>
      <c r="T16" s="164">
        <f>J16*S16</f>
        <v>0</v>
      </c>
    </row>
    <row r="17" spans="1:20" x14ac:dyDescent="0.3">
      <c r="A17" s="162" t="s">
        <v>150</v>
      </c>
      <c r="B17" s="162" t="s">
        <v>151</v>
      </c>
      <c r="C17" s="162" t="s">
        <v>142</v>
      </c>
      <c r="D17" s="162">
        <v>1420</v>
      </c>
      <c r="E17" s="171">
        <v>153</v>
      </c>
      <c r="F17" s="162">
        <f t="shared" si="0"/>
        <v>217260</v>
      </c>
      <c r="G17" s="163">
        <v>1</v>
      </c>
      <c r="H17" s="164" t="s">
        <v>152</v>
      </c>
      <c r="I17" s="165" t="s">
        <v>153</v>
      </c>
      <c r="J17" s="163">
        <v>2</v>
      </c>
      <c r="K17" s="164"/>
      <c r="L17" s="164">
        <f t="shared" ref="L17:L50" si="6">J17*K17</f>
        <v>0</v>
      </c>
      <c r="M17" s="164"/>
      <c r="N17" s="164">
        <f t="shared" ref="N17:N50" si="7">J17*M17</f>
        <v>0</v>
      </c>
      <c r="O17" s="164"/>
      <c r="P17" s="164">
        <f t="shared" ref="P17:P50" si="8">J17*O17</f>
        <v>0</v>
      </c>
      <c r="Q17" s="164"/>
      <c r="R17" s="164">
        <f t="shared" ref="R17:R50" si="9">J17*Q17</f>
        <v>0</v>
      </c>
      <c r="S17" s="164"/>
      <c r="T17" s="164">
        <f t="shared" ref="T17:T50" si="10">J17*S17</f>
        <v>0</v>
      </c>
    </row>
    <row r="18" spans="1:20" x14ac:dyDescent="0.3">
      <c r="A18" s="162" t="s">
        <v>154</v>
      </c>
      <c r="B18" s="162" t="s">
        <v>155</v>
      </c>
      <c r="C18" s="162" t="s">
        <v>142</v>
      </c>
      <c r="D18" s="162">
        <v>222</v>
      </c>
      <c r="E18" s="171">
        <v>29</v>
      </c>
      <c r="F18" s="162">
        <f t="shared" si="0"/>
        <v>6438</v>
      </c>
      <c r="G18" s="163">
        <v>1</v>
      </c>
      <c r="H18" s="164" t="s">
        <v>156</v>
      </c>
      <c r="I18" s="165" t="s">
        <v>157</v>
      </c>
      <c r="J18" s="163">
        <v>2</v>
      </c>
      <c r="K18" s="164"/>
      <c r="L18" s="164">
        <f t="shared" si="6"/>
        <v>0</v>
      </c>
      <c r="M18" s="164"/>
      <c r="N18" s="164">
        <f t="shared" si="7"/>
        <v>0</v>
      </c>
      <c r="O18" s="164"/>
      <c r="P18" s="164">
        <f t="shared" si="8"/>
        <v>0</v>
      </c>
      <c r="Q18" s="164"/>
      <c r="R18" s="164">
        <f t="shared" si="9"/>
        <v>0</v>
      </c>
      <c r="S18" s="164"/>
      <c r="T18" s="164">
        <f t="shared" si="10"/>
        <v>0</v>
      </c>
    </row>
    <row r="19" spans="1:20" x14ac:dyDescent="0.3">
      <c r="A19" s="162" t="s">
        <v>158</v>
      </c>
      <c r="B19" s="162" t="s">
        <v>159</v>
      </c>
      <c r="C19" s="162" t="s">
        <v>142</v>
      </c>
      <c r="D19" s="162">
        <v>441</v>
      </c>
      <c r="E19" s="171">
        <v>56</v>
      </c>
      <c r="F19" s="162">
        <f t="shared" si="0"/>
        <v>24696</v>
      </c>
      <c r="G19" s="163">
        <v>1</v>
      </c>
      <c r="H19" s="164" t="s">
        <v>160</v>
      </c>
      <c r="I19" s="165" t="s">
        <v>161</v>
      </c>
      <c r="J19" s="163">
        <v>2</v>
      </c>
      <c r="K19" s="164"/>
      <c r="L19" s="164">
        <f t="shared" si="6"/>
        <v>0</v>
      </c>
      <c r="M19" s="164"/>
      <c r="N19" s="164">
        <f t="shared" si="7"/>
        <v>0</v>
      </c>
      <c r="O19" s="164"/>
      <c r="P19" s="164">
        <f t="shared" si="8"/>
        <v>0</v>
      </c>
      <c r="Q19" s="164"/>
      <c r="R19" s="164">
        <f t="shared" si="9"/>
        <v>0</v>
      </c>
      <c r="S19" s="164"/>
      <c r="T19" s="164">
        <f t="shared" si="10"/>
        <v>0</v>
      </c>
    </row>
    <row r="20" spans="1:20" x14ac:dyDescent="0.3">
      <c r="A20" s="162" t="s">
        <v>162</v>
      </c>
      <c r="B20" s="162" t="s">
        <v>163</v>
      </c>
      <c r="C20" s="162" t="s">
        <v>142</v>
      </c>
      <c r="D20" s="162">
        <v>661</v>
      </c>
      <c r="E20" s="171">
        <v>36</v>
      </c>
      <c r="F20" s="162">
        <f t="shared" si="0"/>
        <v>23796</v>
      </c>
      <c r="G20" s="163">
        <v>1</v>
      </c>
      <c r="H20" s="164" t="s">
        <v>164</v>
      </c>
      <c r="I20" s="165" t="s">
        <v>165</v>
      </c>
      <c r="J20" s="163">
        <v>2</v>
      </c>
      <c r="K20" s="164"/>
      <c r="L20" s="164">
        <f t="shared" si="6"/>
        <v>0</v>
      </c>
      <c r="M20" s="164"/>
      <c r="N20" s="164">
        <f t="shared" si="7"/>
        <v>0</v>
      </c>
      <c r="O20" s="164"/>
      <c r="P20" s="164">
        <f t="shared" si="8"/>
        <v>0</v>
      </c>
      <c r="Q20" s="164"/>
      <c r="R20" s="164">
        <f t="shared" si="9"/>
        <v>0</v>
      </c>
      <c r="S20" s="164"/>
      <c r="T20" s="164">
        <f t="shared" si="10"/>
        <v>0</v>
      </c>
    </row>
    <row r="21" spans="1:20" x14ac:dyDescent="0.3">
      <c r="A21" s="162" t="s">
        <v>166</v>
      </c>
      <c r="B21" s="162" t="s">
        <v>167</v>
      </c>
      <c r="C21" s="162" t="s">
        <v>142</v>
      </c>
      <c r="D21" s="162">
        <v>500</v>
      </c>
      <c r="E21" s="171">
        <v>54</v>
      </c>
      <c r="F21" s="162">
        <f t="shared" si="0"/>
        <v>27000</v>
      </c>
      <c r="G21" s="163">
        <v>1</v>
      </c>
      <c r="H21" s="164" t="s">
        <v>168</v>
      </c>
      <c r="I21" s="165" t="s">
        <v>169</v>
      </c>
      <c r="J21" s="163">
        <v>1</v>
      </c>
      <c r="K21" s="164"/>
      <c r="L21" s="164">
        <f t="shared" si="6"/>
        <v>0</v>
      </c>
      <c r="M21" s="164"/>
      <c r="N21" s="164">
        <f t="shared" si="7"/>
        <v>0</v>
      </c>
      <c r="O21" s="164"/>
      <c r="P21" s="164">
        <f t="shared" si="8"/>
        <v>0</v>
      </c>
      <c r="Q21" s="164"/>
      <c r="R21" s="164">
        <f t="shared" si="9"/>
        <v>0</v>
      </c>
      <c r="S21" s="164"/>
      <c r="T21" s="164">
        <f t="shared" si="10"/>
        <v>0</v>
      </c>
    </row>
    <row r="22" spans="1:20" x14ac:dyDescent="0.3">
      <c r="A22" s="162" t="s">
        <v>170</v>
      </c>
      <c r="B22" s="162" t="s">
        <v>171</v>
      </c>
      <c r="C22" s="162" t="s">
        <v>89</v>
      </c>
      <c r="D22" s="162">
        <v>1700</v>
      </c>
      <c r="E22" s="171">
        <v>20</v>
      </c>
      <c r="F22" s="162">
        <f t="shared" si="0"/>
        <v>34000</v>
      </c>
      <c r="G22" s="163">
        <v>1</v>
      </c>
      <c r="H22" s="164" t="s">
        <v>172</v>
      </c>
      <c r="I22" s="165" t="s">
        <v>171</v>
      </c>
      <c r="J22" s="163">
        <v>1</v>
      </c>
      <c r="K22" s="164"/>
      <c r="L22" s="164">
        <f t="shared" si="6"/>
        <v>0</v>
      </c>
      <c r="M22" s="164"/>
      <c r="N22" s="164">
        <f t="shared" si="7"/>
        <v>0</v>
      </c>
      <c r="O22" s="164"/>
      <c r="P22" s="164">
        <f t="shared" si="8"/>
        <v>0</v>
      </c>
      <c r="Q22" s="164"/>
      <c r="R22" s="164">
        <f t="shared" si="9"/>
        <v>0</v>
      </c>
      <c r="S22" s="164"/>
      <c r="T22" s="164">
        <f t="shared" si="10"/>
        <v>0</v>
      </c>
    </row>
    <row r="23" spans="1:20" x14ac:dyDescent="0.3">
      <c r="A23" s="162" t="s">
        <v>173</v>
      </c>
      <c r="B23" s="162" t="s">
        <v>149</v>
      </c>
      <c r="C23" s="162" t="s">
        <v>142</v>
      </c>
      <c r="D23" s="162">
        <v>360</v>
      </c>
      <c r="E23" s="171">
        <v>87</v>
      </c>
      <c r="F23" s="162">
        <f t="shared" si="0"/>
        <v>31320</v>
      </c>
      <c r="G23" s="163">
        <v>1</v>
      </c>
      <c r="H23" s="164" t="s">
        <v>174</v>
      </c>
      <c r="I23" s="165" t="s">
        <v>112</v>
      </c>
      <c r="J23" s="163">
        <v>1</v>
      </c>
      <c r="K23" s="164"/>
      <c r="L23" s="164">
        <f t="shared" si="6"/>
        <v>0</v>
      </c>
      <c r="M23" s="164"/>
      <c r="N23" s="164">
        <f t="shared" si="7"/>
        <v>0</v>
      </c>
      <c r="O23" s="164"/>
      <c r="P23" s="164">
        <f t="shared" si="8"/>
        <v>0</v>
      </c>
      <c r="Q23" s="164"/>
      <c r="R23" s="164">
        <f t="shared" si="9"/>
        <v>0</v>
      </c>
      <c r="S23" s="164"/>
      <c r="T23" s="164">
        <f t="shared" si="10"/>
        <v>0</v>
      </c>
    </row>
    <row r="24" spans="1:20" x14ac:dyDescent="0.3">
      <c r="A24" s="162" t="s">
        <v>175</v>
      </c>
      <c r="B24" s="162" t="s">
        <v>176</v>
      </c>
      <c r="C24" s="162" t="s">
        <v>85</v>
      </c>
      <c r="D24" s="162">
        <v>2100</v>
      </c>
      <c r="E24" s="171">
        <v>115.57</v>
      </c>
      <c r="F24" s="162">
        <f t="shared" si="0"/>
        <v>242697</v>
      </c>
      <c r="G24" s="163">
        <v>1</v>
      </c>
      <c r="H24" s="164" t="s">
        <v>118</v>
      </c>
      <c r="I24" s="165" t="s">
        <v>131</v>
      </c>
      <c r="J24" s="163">
        <v>2</v>
      </c>
      <c r="K24" s="164"/>
      <c r="L24" s="164">
        <f t="shared" si="6"/>
        <v>0</v>
      </c>
      <c r="M24" s="164"/>
      <c r="N24" s="164">
        <f t="shared" si="7"/>
        <v>0</v>
      </c>
      <c r="O24" s="164"/>
      <c r="P24" s="164">
        <f t="shared" si="8"/>
        <v>0</v>
      </c>
      <c r="Q24" s="164"/>
      <c r="R24" s="164">
        <f t="shared" si="9"/>
        <v>0</v>
      </c>
      <c r="S24" s="164"/>
      <c r="T24" s="164">
        <f t="shared" si="10"/>
        <v>0</v>
      </c>
    </row>
    <row r="25" spans="1:20" x14ac:dyDescent="0.3">
      <c r="A25" s="162" t="s">
        <v>177</v>
      </c>
      <c r="B25" s="162" t="s">
        <v>178</v>
      </c>
      <c r="C25" s="162" t="s">
        <v>142</v>
      </c>
      <c r="D25" s="162">
        <v>1307</v>
      </c>
      <c r="E25" s="171">
        <v>6.5</v>
      </c>
      <c r="F25" s="162">
        <f t="shared" si="0"/>
        <v>8495.5</v>
      </c>
      <c r="G25" s="163">
        <v>1</v>
      </c>
      <c r="H25" s="164" t="s">
        <v>179</v>
      </c>
      <c r="I25" s="165" t="s">
        <v>180</v>
      </c>
      <c r="J25" s="163">
        <v>1</v>
      </c>
      <c r="K25" s="164"/>
      <c r="L25" s="164">
        <f t="shared" si="6"/>
        <v>0</v>
      </c>
      <c r="M25" s="164"/>
      <c r="N25" s="164">
        <f t="shared" si="7"/>
        <v>0</v>
      </c>
      <c r="O25" s="164"/>
      <c r="P25" s="164">
        <f t="shared" si="8"/>
        <v>0</v>
      </c>
      <c r="Q25" s="164"/>
      <c r="R25" s="164">
        <f t="shared" si="9"/>
        <v>0</v>
      </c>
      <c r="S25" s="164"/>
      <c r="T25" s="164">
        <f t="shared" si="10"/>
        <v>0</v>
      </c>
    </row>
    <row r="26" spans="1:20" x14ac:dyDescent="0.3">
      <c r="A26" s="162" t="s">
        <v>181</v>
      </c>
      <c r="B26" s="162" t="s">
        <v>182</v>
      </c>
      <c r="C26" s="162" t="s">
        <v>85</v>
      </c>
      <c r="D26" s="162">
        <v>200</v>
      </c>
      <c r="E26" s="171">
        <v>110</v>
      </c>
      <c r="F26" s="162">
        <f t="shared" si="0"/>
        <v>22000</v>
      </c>
      <c r="G26" s="163">
        <v>1</v>
      </c>
      <c r="H26" s="164" t="s">
        <v>183</v>
      </c>
      <c r="I26" s="165" t="s">
        <v>141</v>
      </c>
      <c r="J26" s="163">
        <v>2</v>
      </c>
      <c r="K26" s="164"/>
      <c r="L26" s="164">
        <f t="shared" si="6"/>
        <v>0</v>
      </c>
      <c r="M26" s="164"/>
      <c r="N26" s="164">
        <f t="shared" si="7"/>
        <v>0</v>
      </c>
      <c r="O26" s="164"/>
      <c r="P26" s="164">
        <f t="shared" si="8"/>
        <v>0</v>
      </c>
      <c r="Q26" s="164"/>
      <c r="R26" s="164">
        <f t="shared" si="9"/>
        <v>0</v>
      </c>
      <c r="S26" s="164"/>
      <c r="T26" s="164">
        <f t="shared" si="10"/>
        <v>0</v>
      </c>
    </row>
    <row r="27" spans="1:20" x14ac:dyDescent="0.3">
      <c r="A27" s="162" t="s">
        <v>184</v>
      </c>
      <c r="B27" s="162" t="s">
        <v>185</v>
      </c>
      <c r="C27" s="162" t="s">
        <v>85</v>
      </c>
      <c r="D27" s="162">
        <v>200</v>
      </c>
      <c r="E27" s="171">
        <v>177.048</v>
      </c>
      <c r="F27" s="162">
        <f t="shared" si="0"/>
        <v>35409.599999999999</v>
      </c>
      <c r="G27" s="163">
        <v>1</v>
      </c>
      <c r="H27" s="164" t="s">
        <v>186</v>
      </c>
      <c r="I27" s="165" t="s">
        <v>187</v>
      </c>
      <c r="J27" s="163">
        <v>1</v>
      </c>
      <c r="K27" s="164"/>
      <c r="L27" s="164">
        <f t="shared" si="6"/>
        <v>0</v>
      </c>
      <c r="M27" s="164"/>
      <c r="N27" s="164">
        <f t="shared" si="7"/>
        <v>0</v>
      </c>
      <c r="O27" s="164"/>
      <c r="P27" s="164">
        <f t="shared" si="8"/>
        <v>0</v>
      </c>
      <c r="Q27" s="164"/>
      <c r="R27" s="164">
        <f t="shared" si="9"/>
        <v>0</v>
      </c>
      <c r="S27" s="164"/>
      <c r="T27" s="164">
        <f t="shared" si="10"/>
        <v>0</v>
      </c>
    </row>
    <row r="28" spans="1:20" x14ac:dyDescent="0.3">
      <c r="A28" s="162" t="s">
        <v>188</v>
      </c>
      <c r="B28" s="162" t="s">
        <v>189</v>
      </c>
      <c r="C28" s="162" t="s">
        <v>85</v>
      </c>
      <c r="D28" s="162">
        <v>52</v>
      </c>
      <c r="E28" s="171">
        <v>0</v>
      </c>
      <c r="F28" s="162">
        <f t="shared" si="0"/>
        <v>0</v>
      </c>
      <c r="G28" s="163">
        <v>1</v>
      </c>
      <c r="H28" s="164" t="s">
        <v>190</v>
      </c>
      <c r="I28" s="165" t="s">
        <v>151</v>
      </c>
      <c r="J28" s="163">
        <v>6</v>
      </c>
      <c r="K28" s="164"/>
      <c r="L28" s="164">
        <f t="shared" si="6"/>
        <v>0</v>
      </c>
      <c r="M28" s="164"/>
      <c r="N28" s="164">
        <f t="shared" si="7"/>
        <v>0</v>
      </c>
      <c r="O28" s="164"/>
      <c r="P28" s="164">
        <f t="shared" si="8"/>
        <v>0</v>
      </c>
      <c r="Q28" s="164"/>
      <c r="R28" s="164">
        <f t="shared" si="9"/>
        <v>0</v>
      </c>
      <c r="S28" s="164"/>
      <c r="T28" s="164">
        <f t="shared" si="10"/>
        <v>0</v>
      </c>
    </row>
    <row r="29" spans="1:20" x14ac:dyDescent="0.3">
      <c r="A29" s="162" t="s">
        <v>191</v>
      </c>
      <c r="B29" s="162" t="s">
        <v>192</v>
      </c>
      <c r="C29" s="162" t="s">
        <v>142</v>
      </c>
      <c r="D29" s="162">
        <v>1300</v>
      </c>
      <c r="E29" s="171">
        <v>194</v>
      </c>
      <c r="F29" s="162">
        <f t="shared" si="0"/>
        <v>252200</v>
      </c>
      <c r="G29" s="163">
        <v>1</v>
      </c>
      <c r="H29" s="164" t="s">
        <v>193</v>
      </c>
      <c r="I29" s="165" t="s">
        <v>194</v>
      </c>
      <c r="J29" s="163">
        <v>1</v>
      </c>
      <c r="K29" s="164"/>
      <c r="L29" s="164">
        <f t="shared" si="6"/>
        <v>0</v>
      </c>
      <c r="M29" s="164"/>
      <c r="N29" s="164">
        <f t="shared" si="7"/>
        <v>0</v>
      </c>
      <c r="O29" s="164"/>
      <c r="P29" s="164">
        <f t="shared" si="8"/>
        <v>0</v>
      </c>
      <c r="Q29" s="164"/>
      <c r="R29" s="164">
        <f t="shared" si="9"/>
        <v>0</v>
      </c>
      <c r="S29" s="164"/>
      <c r="T29" s="164">
        <f t="shared" si="10"/>
        <v>0</v>
      </c>
    </row>
    <row r="30" spans="1:20" x14ac:dyDescent="0.3">
      <c r="A30" s="162" t="s">
        <v>195</v>
      </c>
      <c r="B30" s="162" t="s">
        <v>187</v>
      </c>
      <c r="C30" s="162" t="s">
        <v>89</v>
      </c>
      <c r="D30" s="162">
        <v>950</v>
      </c>
      <c r="E30" s="171">
        <v>13</v>
      </c>
      <c r="F30" s="162">
        <f t="shared" si="0"/>
        <v>12350</v>
      </c>
      <c r="G30" s="163">
        <v>1</v>
      </c>
      <c r="H30" s="164" t="s">
        <v>196</v>
      </c>
      <c r="I30" s="165" t="s">
        <v>197</v>
      </c>
      <c r="J30" s="163">
        <v>1</v>
      </c>
      <c r="K30" s="164"/>
      <c r="L30" s="164">
        <f t="shared" si="6"/>
        <v>0</v>
      </c>
      <c r="M30" s="164"/>
      <c r="N30" s="164">
        <f t="shared" si="7"/>
        <v>0</v>
      </c>
      <c r="O30" s="164"/>
      <c r="P30" s="164">
        <f t="shared" si="8"/>
        <v>0</v>
      </c>
      <c r="Q30" s="164"/>
      <c r="R30" s="164">
        <f t="shared" si="9"/>
        <v>0</v>
      </c>
      <c r="S30" s="164"/>
      <c r="T30" s="164">
        <f t="shared" si="10"/>
        <v>0</v>
      </c>
    </row>
    <row r="31" spans="1:20" x14ac:dyDescent="0.3">
      <c r="A31" s="162" t="s">
        <v>198</v>
      </c>
      <c r="B31" s="162" t="s">
        <v>199</v>
      </c>
      <c r="C31" s="162" t="s">
        <v>142</v>
      </c>
      <c r="D31" s="162">
        <v>176</v>
      </c>
      <c r="E31" s="171">
        <v>52</v>
      </c>
      <c r="F31" s="162">
        <f t="shared" si="0"/>
        <v>9152</v>
      </c>
      <c r="G31" s="163">
        <v>1</v>
      </c>
      <c r="H31" s="164" t="s">
        <v>200</v>
      </c>
      <c r="I31" s="165" t="s">
        <v>201</v>
      </c>
      <c r="J31" s="163">
        <v>2</v>
      </c>
      <c r="K31" s="164"/>
      <c r="L31" s="164">
        <f t="shared" si="6"/>
        <v>0</v>
      </c>
      <c r="M31" s="164"/>
      <c r="N31" s="164">
        <f t="shared" si="7"/>
        <v>0</v>
      </c>
      <c r="O31" s="164"/>
      <c r="P31" s="164">
        <f t="shared" si="8"/>
        <v>0</v>
      </c>
      <c r="Q31" s="164"/>
      <c r="R31" s="164">
        <f t="shared" si="9"/>
        <v>0</v>
      </c>
      <c r="S31" s="164"/>
      <c r="T31" s="164">
        <f t="shared" si="10"/>
        <v>0</v>
      </c>
    </row>
    <row r="32" spans="1:20" x14ac:dyDescent="0.3">
      <c r="A32" s="162" t="s">
        <v>202</v>
      </c>
      <c r="B32" s="162" t="s">
        <v>203</v>
      </c>
      <c r="C32" s="162" t="s">
        <v>142</v>
      </c>
      <c r="D32" s="162">
        <v>166</v>
      </c>
      <c r="E32" s="171">
        <v>45</v>
      </c>
      <c r="F32" s="162">
        <f t="shared" si="0"/>
        <v>7470</v>
      </c>
      <c r="G32" s="163">
        <v>1</v>
      </c>
      <c r="H32" s="164" t="s">
        <v>204</v>
      </c>
      <c r="I32" s="165" t="s">
        <v>205</v>
      </c>
      <c r="J32" s="163">
        <v>2</v>
      </c>
      <c r="K32" s="164"/>
      <c r="L32" s="164">
        <f t="shared" si="6"/>
        <v>0</v>
      </c>
      <c r="M32" s="164"/>
      <c r="N32" s="164">
        <f t="shared" si="7"/>
        <v>0</v>
      </c>
      <c r="O32" s="164"/>
      <c r="P32" s="164">
        <f t="shared" si="8"/>
        <v>0</v>
      </c>
      <c r="Q32" s="164"/>
      <c r="R32" s="164">
        <f t="shared" si="9"/>
        <v>0</v>
      </c>
      <c r="S32" s="164"/>
      <c r="T32" s="164">
        <f t="shared" si="10"/>
        <v>0</v>
      </c>
    </row>
    <row r="33" spans="1:20" x14ac:dyDescent="0.3">
      <c r="A33" s="162" t="s">
        <v>206</v>
      </c>
      <c r="B33" s="162" t="s">
        <v>207</v>
      </c>
      <c r="C33" s="162" t="s">
        <v>142</v>
      </c>
      <c r="D33" s="162">
        <v>500</v>
      </c>
      <c r="E33" s="171">
        <v>92</v>
      </c>
      <c r="F33" s="162">
        <f t="shared" si="0"/>
        <v>46000</v>
      </c>
      <c r="G33" s="163">
        <v>1</v>
      </c>
      <c r="H33" s="164" t="s">
        <v>208</v>
      </c>
      <c r="I33" s="165" t="s">
        <v>209</v>
      </c>
      <c r="J33" s="163">
        <v>1</v>
      </c>
      <c r="K33" s="164"/>
      <c r="L33" s="164">
        <f t="shared" si="6"/>
        <v>0</v>
      </c>
      <c r="M33" s="164"/>
      <c r="N33" s="164">
        <f t="shared" si="7"/>
        <v>0</v>
      </c>
      <c r="O33" s="164"/>
      <c r="P33" s="164">
        <f t="shared" si="8"/>
        <v>0</v>
      </c>
      <c r="Q33" s="164"/>
      <c r="R33" s="164">
        <f t="shared" si="9"/>
        <v>0</v>
      </c>
      <c r="S33" s="164"/>
      <c r="T33" s="164">
        <f t="shared" si="10"/>
        <v>0</v>
      </c>
    </row>
    <row r="34" spans="1:20" x14ac:dyDescent="0.3">
      <c r="B34" s="162" t="s">
        <v>210</v>
      </c>
      <c r="G34" s="163">
        <v>1</v>
      </c>
      <c r="H34" s="164" t="s">
        <v>211</v>
      </c>
      <c r="I34" s="165" t="s">
        <v>212</v>
      </c>
      <c r="J34" s="163">
        <v>2</v>
      </c>
      <c r="K34" s="164"/>
      <c r="L34" s="164">
        <f t="shared" si="6"/>
        <v>0</v>
      </c>
      <c r="M34" s="164"/>
      <c r="N34" s="164">
        <f t="shared" si="7"/>
        <v>0</v>
      </c>
      <c r="O34" s="164"/>
      <c r="P34" s="164">
        <f t="shared" si="8"/>
        <v>0</v>
      </c>
      <c r="Q34" s="164"/>
      <c r="R34" s="164">
        <f t="shared" si="9"/>
        <v>0</v>
      </c>
      <c r="S34" s="164"/>
      <c r="T34" s="164">
        <f t="shared" si="10"/>
        <v>0</v>
      </c>
    </row>
    <row r="35" spans="1:20" x14ac:dyDescent="0.3">
      <c r="B35" s="162" t="s">
        <v>210</v>
      </c>
      <c r="G35" s="163">
        <v>1</v>
      </c>
      <c r="H35" s="164" t="s">
        <v>213</v>
      </c>
      <c r="I35" s="165" t="s">
        <v>214</v>
      </c>
      <c r="J35" s="163">
        <v>1</v>
      </c>
      <c r="K35" s="164"/>
      <c r="L35" s="164">
        <f t="shared" si="6"/>
        <v>0</v>
      </c>
      <c r="M35" s="164"/>
      <c r="N35" s="164">
        <f t="shared" si="7"/>
        <v>0</v>
      </c>
      <c r="O35" s="164"/>
      <c r="P35" s="164">
        <f t="shared" si="8"/>
        <v>0</v>
      </c>
      <c r="Q35" s="164"/>
      <c r="R35" s="164">
        <f t="shared" si="9"/>
        <v>0</v>
      </c>
      <c r="S35" s="164"/>
      <c r="T35" s="164">
        <f t="shared" si="10"/>
        <v>0</v>
      </c>
    </row>
    <row r="36" spans="1:20" x14ac:dyDescent="0.3">
      <c r="B36" s="162" t="s">
        <v>215</v>
      </c>
      <c r="G36" s="163">
        <v>1</v>
      </c>
      <c r="H36" s="164" t="s">
        <v>216</v>
      </c>
      <c r="I36" s="165" t="s">
        <v>217</v>
      </c>
      <c r="J36" s="163">
        <v>1</v>
      </c>
      <c r="K36" s="164"/>
      <c r="L36" s="164">
        <f t="shared" si="6"/>
        <v>0</v>
      </c>
      <c r="M36" s="164"/>
      <c r="N36" s="164">
        <f t="shared" si="7"/>
        <v>0</v>
      </c>
      <c r="O36" s="164"/>
      <c r="P36" s="164">
        <f t="shared" si="8"/>
        <v>0</v>
      </c>
      <c r="Q36" s="164"/>
      <c r="R36" s="164">
        <f t="shared" si="9"/>
        <v>0</v>
      </c>
      <c r="S36" s="164"/>
      <c r="T36" s="164">
        <f t="shared" si="10"/>
        <v>0</v>
      </c>
    </row>
    <row r="37" spans="1:20" x14ac:dyDescent="0.3">
      <c r="B37" s="162" t="s">
        <v>215</v>
      </c>
      <c r="G37" s="163">
        <v>1</v>
      </c>
      <c r="H37" s="164" t="s">
        <v>218</v>
      </c>
      <c r="I37" s="165" t="s">
        <v>219</v>
      </c>
      <c r="J37" s="163">
        <v>1</v>
      </c>
      <c r="K37" s="164"/>
      <c r="L37" s="164">
        <f t="shared" si="6"/>
        <v>0</v>
      </c>
      <c r="M37" s="164"/>
      <c r="N37" s="164">
        <f t="shared" si="7"/>
        <v>0</v>
      </c>
      <c r="O37" s="164"/>
      <c r="P37" s="164">
        <f t="shared" si="8"/>
        <v>0</v>
      </c>
      <c r="Q37" s="164"/>
      <c r="R37" s="164">
        <f t="shared" si="9"/>
        <v>0</v>
      </c>
      <c r="S37" s="164"/>
      <c r="T37" s="164">
        <f t="shared" si="10"/>
        <v>0</v>
      </c>
    </row>
    <row r="38" spans="1:20" x14ac:dyDescent="0.3">
      <c r="B38" s="162" t="s">
        <v>215</v>
      </c>
      <c r="G38" s="163">
        <v>1</v>
      </c>
      <c r="H38" s="164" t="s">
        <v>220</v>
      </c>
      <c r="I38" s="165" t="s">
        <v>221</v>
      </c>
      <c r="J38" s="163">
        <v>2</v>
      </c>
      <c r="K38" s="164"/>
      <c r="L38" s="164">
        <f t="shared" si="6"/>
        <v>0</v>
      </c>
      <c r="M38" s="164"/>
      <c r="N38" s="164">
        <f t="shared" si="7"/>
        <v>0</v>
      </c>
      <c r="O38" s="164"/>
      <c r="P38" s="164">
        <f t="shared" si="8"/>
        <v>0</v>
      </c>
      <c r="Q38" s="164"/>
      <c r="R38" s="164">
        <f t="shared" si="9"/>
        <v>0</v>
      </c>
      <c r="S38" s="164"/>
      <c r="T38" s="164">
        <f t="shared" si="10"/>
        <v>0</v>
      </c>
    </row>
    <row r="39" spans="1:20" x14ac:dyDescent="0.3">
      <c r="B39" s="162" t="s">
        <v>215</v>
      </c>
      <c r="G39" s="163">
        <v>1</v>
      </c>
      <c r="H39" s="164" t="s">
        <v>222</v>
      </c>
      <c r="I39" s="165" t="s">
        <v>223</v>
      </c>
      <c r="J39" s="163">
        <v>1</v>
      </c>
      <c r="K39" s="164"/>
      <c r="L39" s="164">
        <f t="shared" si="6"/>
        <v>0</v>
      </c>
      <c r="M39" s="164"/>
      <c r="N39" s="164">
        <f t="shared" si="7"/>
        <v>0</v>
      </c>
      <c r="O39" s="164"/>
      <c r="P39" s="164">
        <f t="shared" si="8"/>
        <v>0</v>
      </c>
      <c r="Q39" s="164"/>
      <c r="R39" s="164">
        <f t="shared" si="9"/>
        <v>0</v>
      </c>
      <c r="S39" s="164"/>
      <c r="T39" s="164">
        <f t="shared" si="10"/>
        <v>0</v>
      </c>
    </row>
    <row r="40" spans="1:20" x14ac:dyDescent="0.3">
      <c r="B40" s="162" t="s">
        <v>215</v>
      </c>
      <c r="G40" s="163">
        <v>1</v>
      </c>
      <c r="H40" s="164" t="s">
        <v>224</v>
      </c>
      <c r="I40" s="165" t="s">
        <v>225</v>
      </c>
      <c r="J40" s="163">
        <v>1</v>
      </c>
      <c r="K40" s="164"/>
      <c r="L40" s="164">
        <f t="shared" si="6"/>
        <v>0</v>
      </c>
      <c r="M40" s="164"/>
      <c r="N40" s="164">
        <f t="shared" si="7"/>
        <v>0</v>
      </c>
      <c r="O40" s="164"/>
      <c r="P40" s="164">
        <f t="shared" si="8"/>
        <v>0</v>
      </c>
      <c r="Q40" s="164"/>
      <c r="R40" s="164">
        <f t="shared" si="9"/>
        <v>0</v>
      </c>
      <c r="S40" s="164"/>
      <c r="T40" s="164">
        <f t="shared" si="10"/>
        <v>0</v>
      </c>
    </row>
    <row r="41" spans="1:20" x14ac:dyDescent="0.3">
      <c r="B41" s="162" t="s">
        <v>226</v>
      </c>
      <c r="G41" s="163">
        <v>1</v>
      </c>
      <c r="H41" s="164" t="s">
        <v>227</v>
      </c>
      <c r="I41" s="165" t="s">
        <v>228</v>
      </c>
      <c r="J41" s="163">
        <v>5</v>
      </c>
      <c r="K41" s="164"/>
      <c r="L41" s="164">
        <f t="shared" si="6"/>
        <v>0</v>
      </c>
      <c r="M41" s="164"/>
      <c r="N41" s="164">
        <f t="shared" si="7"/>
        <v>0</v>
      </c>
      <c r="O41" s="164"/>
      <c r="P41" s="164">
        <f t="shared" si="8"/>
        <v>0</v>
      </c>
      <c r="Q41" s="164"/>
      <c r="R41" s="164">
        <f t="shared" si="9"/>
        <v>0</v>
      </c>
      <c r="S41" s="164"/>
      <c r="T41" s="164">
        <f t="shared" si="10"/>
        <v>0</v>
      </c>
    </row>
    <row r="42" spans="1:20" x14ac:dyDescent="0.3">
      <c r="B42" s="162" t="s">
        <v>226</v>
      </c>
      <c r="G42" s="163">
        <v>1</v>
      </c>
      <c r="H42" s="164" t="s">
        <v>229</v>
      </c>
      <c r="I42" s="165" t="s">
        <v>230</v>
      </c>
      <c r="J42" s="163">
        <v>2</v>
      </c>
      <c r="K42" s="164"/>
      <c r="L42" s="164">
        <f t="shared" si="6"/>
        <v>0</v>
      </c>
      <c r="M42" s="164"/>
      <c r="N42" s="164">
        <f t="shared" si="7"/>
        <v>0</v>
      </c>
      <c r="O42" s="164"/>
      <c r="P42" s="164">
        <f t="shared" si="8"/>
        <v>0</v>
      </c>
      <c r="Q42" s="164"/>
      <c r="R42" s="164">
        <f t="shared" si="9"/>
        <v>0</v>
      </c>
      <c r="S42" s="164"/>
      <c r="T42" s="164">
        <f t="shared" si="10"/>
        <v>0</v>
      </c>
    </row>
    <row r="43" spans="1:20" x14ac:dyDescent="0.3">
      <c r="B43" s="162" t="s">
        <v>226</v>
      </c>
      <c r="G43" s="163">
        <v>1</v>
      </c>
      <c r="H43" s="164" t="s">
        <v>231</v>
      </c>
      <c r="I43" s="165" t="s">
        <v>126</v>
      </c>
      <c r="J43" s="163">
        <v>2</v>
      </c>
      <c r="K43" s="164"/>
      <c r="L43" s="164">
        <f t="shared" si="6"/>
        <v>0</v>
      </c>
      <c r="M43" s="164"/>
      <c r="N43" s="164">
        <f t="shared" si="7"/>
        <v>0</v>
      </c>
      <c r="O43" s="164"/>
      <c r="P43" s="164">
        <f t="shared" si="8"/>
        <v>0</v>
      </c>
      <c r="Q43" s="164"/>
      <c r="R43" s="164">
        <f t="shared" si="9"/>
        <v>0</v>
      </c>
      <c r="S43" s="164"/>
      <c r="T43" s="164">
        <f t="shared" si="10"/>
        <v>0</v>
      </c>
    </row>
    <row r="44" spans="1:20" x14ac:dyDescent="0.3">
      <c r="B44" s="162" t="s">
        <v>226</v>
      </c>
      <c r="G44" s="163">
        <v>1</v>
      </c>
      <c r="H44" s="164" t="s">
        <v>232</v>
      </c>
      <c r="I44" s="165" t="s">
        <v>233</v>
      </c>
      <c r="J44" s="163">
        <v>2</v>
      </c>
      <c r="K44" s="164"/>
      <c r="L44" s="164">
        <f t="shared" si="6"/>
        <v>0</v>
      </c>
      <c r="M44" s="164"/>
      <c r="N44" s="164">
        <f t="shared" si="7"/>
        <v>0</v>
      </c>
      <c r="O44" s="164"/>
      <c r="P44" s="164">
        <f t="shared" si="8"/>
        <v>0</v>
      </c>
      <c r="Q44" s="164"/>
      <c r="R44" s="164">
        <f t="shared" si="9"/>
        <v>0</v>
      </c>
      <c r="S44" s="164"/>
      <c r="T44" s="164">
        <f t="shared" si="10"/>
        <v>0</v>
      </c>
    </row>
    <row r="45" spans="1:20" x14ac:dyDescent="0.3">
      <c r="B45" s="162" t="s">
        <v>226</v>
      </c>
      <c r="G45" s="163">
        <v>1</v>
      </c>
      <c r="H45" s="164" t="s">
        <v>234</v>
      </c>
      <c r="I45" s="165" t="s">
        <v>235</v>
      </c>
      <c r="J45" s="163">
        <v>1</v>
      </c>
      <c r="K45" s="164"/>
      <c r="L45" s="164">
        <f t="shared" si="6"/>
        <v>0</v>
      </c>
      <c r="M45" s="164"/>
      <c r="N45" s="164">
        <f t="shared" si="7"/>
        <v>0</v>
      </c>
      <c r="O45" s="164"/>
      <c r="P45" s="164">
        <f t="shared" si="8"/>
        <v>0</v>
      </c>
      <c r="Q45" s="164"/>
      <c r="R45" s="164">
        <f t="shared" si="9"/>
        <v>0</v>
      </c>
      <c r="S45" s="164"/>
      <c r="T45" s="164">
        <f t="shared" si="10"/>
        <v>0</v>
      </c>
    </row>
    <row r="46" spans="1:20" x14ac:dyDescent="0.3">
      <c r="B46" s="162" t="s">
        <v>226</v>
      </c>
      <c r="G46" s="163">
        <v>1</v>
      </c>
      <c r="H46" s="164" t="s">
        <v>236</v>
      </c>
      <c r="I46" s="165" t="s">
        <v>237</v>
      </c>
      <c r="J46" s="163">
        <v>2</v>
      </c>
      <c r="K46" s="164"/>
      <c r="L46" s="164">
        <f t="shared" si="6"/>
        <v>0</v>
      </c>
      <c r="M46" s="164"/>
      <c r="N46" s="164">
        <f t="shared" si="7"/>
        <v>0</v>
      </c>
      <c r="O46" s="164"/>
      <c r="P46" s="164">
        <f t="shared" si="8"/>
        <v>0</v>
      </c>
      <c r="Q46" s="164"/>
      <c r="R46" s="164">
        <f t="shared" si="9"/>
        <v>0</v>
      </c>
      <c r="S46" s="164"/>
      <c r="T46" s="164">
        <f t="shared" si="10"/>
        <v>0</v>
      </c>
    </row>
    <row r="47" spans="1:20" x14ac:dyDescent="0.3">
      <c r="B47" s="162" t="s">
        <v>226</v>
      </c>
      <c r="G47" s="172">
        <v>1</v>
      </c>
      <c r="H47" s="164" t="s">
        <v>238</v>
      </c>
      <c r="I47" s="165" t="s">
        <v>239</v>
      </c>
      <c r="J47" s="163">
        <v>2</v>
      </c>
      <c r="K47" s="164"/>
      <c r="L47" s="164">
        <f t="shared" si="6"/>
        <v>0</v>
      </c>
      <c r="M47" s="164"/>
      <c r="N47" s="164">
        <f t="shared" si="7"/>
        <v>0</v>
      </c>
      <c r="O47" s="164"/>
      <c r="P47" s="164">
        <f t="shared" si="8"/>
        <v>0</v>
      </c>
      <c r="Q47" s="164"/>
      <c r="R47" s="164">
        <f t="shared" si="9"/>
        <v>0</v>
      </c>
      <c r="S47" s="164"/>
      <c r="T47" s="164">
        <f t="shared" si="10"/>
        <v>0</v>
      </c>
    </row>
    <row r="48" spans="1:20" x14ac:dyDescent="0.3">
      <c r="B48" s="162" t="s">
        <v>226</v>
      </c>
      <c r="G48" s="163">
        <v>1</v>
      </c>
      <c r="H48" s="164" t="s">
        <v>240</v>
      </c>
      <c r="I48" s="165" t="s">
        <v>241</v>
      </c>
      <c r="J48" s="163">
        <v>2</v>
      </c>
      <c r="K48" s="164"/>
      <c r="L48" s="164">
        <f t="shared" si="6"/>
        <v>0</v>
      </c>
      <c r="M48" s="164"/>
      <c r="N48" s="164">
        <f t="shared" si="7"/>
        <v>0</v>
      </c>
      <c r="O48" s="164"/>
      <c r="P48" s="164">
        <f t="shared" si="8"/>
        <v>0</v>
      </c>
      <c r="Q48" s="164"/>
      <c r="R48" s="164">
        <f t="shared" si="9"/>
        <v>0</v>
      </c>
      <c r="S48" s="164"/>
      <c r="T48" s="164">
        <f t="shared" si="10"/>
        <v>0</v>
      </c>
    </row>
    <row r="49" spans="1:20" x14ac:dyDescent="0.3">
      <c r="B49" s="162" t="s">
        <v>226</v>
      </c>
      <c r="G49" s="163">
        <v>1</v>
      </c>
      <c r="H49" s="164" t="s">
        <v>242</v>
      </c>
      <c r="I49" s="165" t="s">
        <v>147</v>
      </c>
      <c r="J49" s="163">
        <v>2</v>
      </c>
      <c r="K49" s="164"/>
      <c r="L49" s="164">
        <f t="shared" si="6"/>
        <v>0</v>
      </c>
      <c r="M49" s="164"/>
      <c r="N49" s="164">
        <f t="shared" si="7"/>
        <v>0</v>
      </c>
      <c r="O49" s="164"/>
      <c r="P49" s="164">
        <f t="shared" si="8"/>
        <v>0</v>
      </c>
      <c r="Q49" s="164"/>
      <c r="R49" s="164">
        <f t="shared" si="9"/>
        <v>0</v>
      </c>
      <c r="S49" s="164"/>
      <c r="T49" s="164">
        <f t="shared" si="10"/>
        <v>0</v>
      </c>
    </row>
    <row r="50" spans="1:20" ht="15" thickBot="1" x14ac:dyDescent="0.35">
      <c r="B50" s="162" t="s">
        <v>226</v>
      </c>
      <c r="G50" s="175">
        <v>1</v>
      </c>
      <c r="H50" s="173" t="s">
        <v>243</v>
      </c>
      <c r="I50" s="174" t="s">
        <v>244</v>
      </c>
      <c r="J50" s="175">
        <v>1</v>
      </c>
      <c r="K50" s="173"/>
      <c r="L50" s="173">
        <f t="shared" si="6"/>
        <v>0</v>
      </c>
      <c r="M50" s="173"/>
      <c r="N50" s="173">
        <f t="shared" si="7"/>
        <v>0</v>
      </c>
      <c r="O50" s="173"/>
      <c r="P50" s="173">
        <f t="shared" si="8"/>
        <v>0</v>
      </c>
      <c r="Q50" s="173"/>
      <c r="R50" s="173">
        <f t="shared" si="9"/>
        <v>0</v>
      </c>
      <c r="S50" s="173"/>
      <c r="T50" s="173">
        <f t="shared" si="10"/>
        <v>0</v>
      </c>
    </row>
    <row r="51" spans="1:20" s="166" customFormat="1" ht="15" thickTop="1" x14ac:dyDescent="0.3">
      <c r="A51" s="167"/>
      <c r="B51" s="167"/>
      <c r="C51" s="167"/>
      <c r="D51" s="167"/>
      <c r="E51" s="167"/>
      <c r="F51" s="167"/>
      <c r="G51" s="179"/>
      <c r="H51" s="178"/>
      <c r="I51" s="180" t="s">
        <v>245</v>
      </c>
      <c r="J51" s="179"/>
      <c r="K51" s="181"/>
      <c r="L51" s="178">
        <f>SUM(L4:L50)</f>
        <v>0</v>
      </c>
      <c r="M51" s="181"/>
      <c r="N51" s="178">
        <f>SUM(N4:N50)</f>
        <v>0</v>
      </c>
      <c r="O51" s="181"/>
      <c r="P51" s="178">
        <f>SUM(P4:P50)</f>
        <v>0</v>
      </c>
      <c r="Q51" s="181"/>
      <c r="R51" s="178">
        <f>SUM(R4:R50)</f>
        <v>0</v>
      </c>
      <c r="S51" s="181"/>
      <c r="T51" s="178">
        <f>SUM(T4:T50)</f>
        <v>0</v>
      </c>
    </row>
    <row r="52" spans="1:20" x14ac:dyDescent="0.3">
      <c r="I52" s="176"/>
    </row>
    <row r="53" spans="1:20" x14ac:dyDescent="0.3">
      <c r="A53" s="162" t="s">
        <v>246</v>
      </c>
      <c r="B53" s="162" t="s">
        <v>247</v>
      </c>
      <c r="C53" s="162" t="s">
        <v>89</v>
      </c>
      <c r="D53" s="162">
        <v>91334</v>
      </c>
      <c r="E53" s="171">
        <v>36</v>
      </c>
      <c r="F53" s="162">
        <f t="shared" ref="F53:F71" si="11">+E53*D53</f>
        <v>3288024</v>
      </c>
      <c r="G53" s="163">
        <v>2</v>
      </c>
      <c r="H53" s="164" t="s">
        <v>248</v>
      </c>
      <c r="I53" s="165" t="s">
        <v>114</v>
      </c>
      <c r="J53" s="163">
        <v>1</v>
      </c>
      <c r="K53" s="164"/>
      <c r="L53" s="164">
        <f t="shared" ref="L53:L72" si="12">J53*K53</f>
        <v>0</v>
      </c>
      <c r="M53" s="164"/>
      <c r="N53" s="164">
        <f t="shared" ref="N53:N72" si="13">J53*M53</f>
        <v>0</v>
      </c>
      <c r="O53" s="164"/>
      <c r="P53" s="164">
        <f t="shared" ref="P53:P72" si="14">J53*O53</f>
        <v>0</v>
      </c>
      <c r="Q53" s="164"/>
      <c r="R53" s="164">
        <f t="shared" ref="R53:R72" si="15">J53*Q53</f>
        <v>0</v>
      </c>
      <c r="S53" s="164"/>
      <c r="T53" s="164">
        <f t="shared" ref="T53:T72" si="16">J53*S53</f>
        <v>0</v>
      </c>
    </row>
    <row r="54" spans="1:20" x14ac:dyDescent="0.3">
      <c r="A54" s="162" t="s">
        <v>249</v>
      </c>
      <c r="B54" s="162" t="s">
        <v>108</v>
      </c>
      <c r="C54" s="162" t="s">
        <v>89</v>
      </c>
      <c r="D54" s="162">
        <v>80964</v>
      </c>
      <c r="E54" s="171">
        <v>0</v>
      </c>
      <c r="F54" s="162">
        <f t="shared" si="11"/>
        <v>0</v>
      </c>
      <c r="G54" s="163">
        <v>2</v>
      </c>
      <c r="H54" s="164" t="s">
        <v>250</v>
      </c>
      <c r="I54" s="165" t="s">
        <v>251</v>
      </c>
      <c r="J54" s="163">
        <v>1</v>
      </c>
      <c r="K54" s="164"/>
      <c r="L54" s="164">
        <f t="shared" si="12"/>
        <v>0</v>
      </c>
      <c r="M54" s="164"/>
      <c r="N54" s="164">
        <f t="shared" si="13"/>
        <v>0</v>
      </c>
      <c r="O54" s="164"/>
      <c r="P54" s="164">
        <f t="shared" si="14"/>
        <v>0</v>
      </c>
      <c r="Q54" s="164"/>
      <c r="R54" s="164">
        <f t="shared" si="15"/>
        <v>0</v>
      </c>
      <c r="S54" s="164"/>
      <c r="T54" s="164">
        <f t="shared" si="16"/>
        <v>0</v>
      </c>
    </row>
    <row r="55" spans="1:20" x14ac:dyDescent="0.3">
      <c r="A55" s="162" t="s">
        <v>252</v>
      </c>
      <c r="B55" s="162" t="s">
        <v>247</v>
      </c>
      <c r="C55" s="162" t="s">
        <v>89</v>
      </c>
      <c r="D55" s="162">
        <v>90394</v>
      </c>
      <c r="E55" s="171">
        <v>1</v>
      </c>
      <c r="F55" s="162">
        <f t="shared" si="11"/>
        <v>90394</v>
      </c>
      <c r="G55" s="163">
        <v>2</v>
      </c>
      <c r="H55" s="164" t="s">
        <v>253</v>
      </c>
      <c r="I55" s="165" t="s">
        <v>254</v>
      </c>
      <c r="J55" s="163">
        <v>1</v>
      </c>
      <c r="K55" s="164"/>
      <c r="L55" s="164">
        <f t="shared" si="12"/>
        <v>0</v>
      </c>
      <c r="M55" s="164"/>
      <c r="N55" s="164">
        <f t="shared" si="13"/>
        <v>0</v>
      </c>
      <c r="O55" s="164"/>
      <c r="P55" s="164">
        <f t="shared" si="14"/>
        <v>0</v>
      </c>
      <c r="Q55" s="164"/>
      <c r="R55" s="164">
        <f t="shared" si="15"/>
        <v>0</v>
      </c>
      <c r="S55" s="164"/>
      <c r="T55" s="164">
        <f t="shared" si="16"/>
        <v>0</v>
      </c>
    </row>
    <row r="56" spans="1:20" x14ac:dyDescent="0.3">
      <c r="A56" s="162" t="s">
        <v>255</v>
      </c>
      <c r="B56" s="162" t="s">
        <v>256</v>
      </c>
      <c r="C56" s="162" t="s">
        <v>89</v>
      </c>
      <c r="D56" s="162">
        <v>100764</v>
      </c>
      <c r="E56" s="171">
        <v>0</v>
      </c>
      <c r="F56" s="162">
        <f t="shared" si="11"/>
        <v>0</v>
      </c>
      <c r="G56" s="163">
        <v>2</v>
      </c>
      <c r="H56" s="164" t="s">
        <v>257</v>
      </c>
      <c r="I56" s="165" t="s">
        <v>258</v>
      </c>
      <c r="J56" s="163">
        <v>1</v>
      </c>
      <c r="K56" s="164"/>
      <c r="L56" s="164">
        <f t="shared" si="12"/>
        <v>0</v>
      </c>
      <c r="M56" s="164"/>
      <c r="N56" s="164">
        <f t="shared" si="13"/>
        <v>0</v>
      </c>
      <c r="O56" s="164"/>
      <c r="P56" s="164">
        <f t="shared" si="14"/>
        <v>0</v>
      </c>
      <c r="Q56" s="164"/>
      <c r="R56" s="164">
        <f t="shared" si="15"/>
        <v>0</v>
      </c>
      <c r="S56" s="164"/>
      <c r="T56" s="164">
        <f t="shared" si="16"/>
        <v>0</v>
      </c>
    </row>
    <row r="57" spans="1:20" x14ac:dyDescent="0.3">
      <c r="A57" s="162" t="s">
        <v>259</v>
      </c>
      <c r="B57" s="162" t="s">
        <v>260</v>
      </c>
      <c r="C57" s="162" t="s">
        <v>89</v>
      </c>
      <c r="D57" s="162">
        <v>113274</v>
      </c>
      <c r="E57" s="171">
        <v>0</v>
      </c>
      <c r="F57" s="162">
        <f t="shared" si="11"/>
        <v>0</v>
      </c>
      <c r="G57" s="163">
        <v>2</v>
      </c>
      <c r="H57" s="164" t="s">
        <v>261</v>
      </c>
      <c r="I57" s="165" t="s">
        <v>262</v>
      </c>
      <c r="J57" s="163">
        <v>1</v>
      </c>
      <c r="K57" s="164"/>
      <c r="L57" s="164">
        <f t="shared" si="12"/>
        <v>0</v>
      </c>
      <c r="M57" s="164"/>
      <c r="N57" s="164">
        <f t="shared" si="13"/>
        <v>0</v>
      </c>
      <c r="O57" s="164"/>
      <c r="P57" s="164">
        <f t="shared" si="14"/>
        <v>0</v>
      </c>
      <c r="Q57" s="164"/>
      <c r="R57" s="164">
        <f t="shared" si="15"/>
        <v>0</v>
      </c>
      <c r="S57" s="164"/>
      <c r="T57" s="164">
        <f t="shared" si="16"/>
        <v>0</v>
      </c>
    </row>
    <row r="58" spans="1:20" x14ac:dyDescent="0.3">
      <c r="A58" s="162" t="s">
        <v>263</v>
      </c>
      <c r="B58" s="162" t="s">
        <v>264</v>
      </c>
      <c r="C58" s="162" t="s">
        <v>89</v>
      </c>
      <c r="D58" s="162">
        <v>124373</v>
      </c>
      <c r="E58" s="171">
        <v>0</v>
      </c>
      <c r="F58" s="162">
        <f t="shared" si="11"/>
        <v>0</v>
      </c>
      <c r="G58" s="163">
        <v>2</v>
      </c>
      <c r="H58" s="164" t="s">
        <v>265</v>
      </c>
      <c r="I58" s="165" t="s">
        <v>114</v>
      </c>
      <c r="J58" s="163">
        <v>1</v>
      </c>
      <c r="K58" s="164"/>
      <c r="L58" s="164">
        <f t="shared" si="12"/>
        <v>0</v>
      </c>
      <c r="M58" s="164"/>
      <c r="N58" s="164">
        <f t="shared" si="13"/>
        <v>0</v>
      </c>
      <c r="O58" s="164"/>
      <c r="P58" s="164">
        <f t="shared" si="14"/>
        <v>0</v>
      </c>
      <c r="Q58" s="164"/>
      <c r="R58" s="164">
        <f t="shared" si="15"/>
        <v>0</v>
      </c>
      <c r="S58" s="164"/>
      <c r="T58" s="164">
        <f t="shared" si="16"/>
        <v>0</v>
      </c>
    </row>
    <row r="59" spans="1:20" x14ac:dyDescent="0.3">
      <c r="A59" s="162" t="s">
        <v>266</v>
      </c>
      <c r="B59" s="162" t="s">
        <v>108</v>
      </c>
      <c r="C59" s="162" t="s">
        <v>89</v>
      </c>
      <c r="D59" s="162">
        <v>82264</v>
      </c>
      <c r="E59" s="171">
        <v>32</v>
      </c>
      <c r="F59" s="162">
        <f t="shared" si="11"/>
        <v>2632448</v>
      </c>
      <c r="G59" s="163">
        <v>2</v>
      </c>
      <c r="H59" s="164" t="s">
        <v>267</v>
      </c>
      <c r="I59" s="165" t="s">
        <v>251</v>
      </c>
      <c r="J59" s="163">
        <v>1</v>
      </c>
      <c r="K59" s="164"/>
      <c r="L59" s="164">
        <f t="shared" si="12"/>
        <v>0</v>
      </c>
      <c r="M59" s="164"/>
      <c r="N59" s="164">
        <f t="shared" si="13"/>
        <v>0</v>
      </c>
      <c r="O59" s="164"/>
      <c r="P59" s="164">
        <f t="shared" si="14"/>
        <v>0</v>
      </c>
      <c r="Q59" s="164"/>
      <c r="R59" s="164">
        <f t="shared" si="15"/>
        <v>0</v>
      </c>
      <c r="S59" s="164"/>
      <c r="T59" s="164">
        <f t="shared" si="16"/>
        <v>0</v>
      </c>
    </row>
    <row r="60" spans="1:20" x14ac:dyDescent="0.3">
      <c r="A60" s="162" t="s">
        <v>268</v>
      </c>
      <c r="B60" s="162" t="s">
        <v>256</v>
      </c>
      <c r="C60" s="162" t="s">
        <v>89</v>
      </c>
      <c r="D60" s="162">
        <v>102097</v>
      </c>
      <c r="E60" s="171">
        <v>5</v>
      </c>
      <c r="F60" s="162">
        <f t="shared" si="11"/>
        <v>510485</v>
      </c>
      <c r="G60" s="163">
        <v>2</v>
      </c>
      <c r="H60" s="164" t="s">
        <v>269</v>
      </c>
      <c r="I60" s="165" t="s">
        <v>254</v>
      </c>
      <c r="J60" s="163">
        <v>1</v>
      </c>
      <c r="K60" s="164"/>
      <c r="L60" s="164">
        <f t="shared" si="12"/>
        <v>0</v>
      </c>
      <c r="M60" s="164"/>
      <c r="N60" s="164">
        <f t="shared" si="13"/>
        <v>0</v>
      </c>
      <c r="O60" s="164"/>
      <c r="P60" s="164">
        <f t="shared" si="14"/>
        <v>0</v>
      </c>
      <c r="Q60" s="164"/>
      <c r="R60" s="164">
        <f t="shared" si="15"/>
        <v>0</v>
      </c>
      <c r="S60" s="164"/>
      <c r="T60" s="164">
        <f t="shared" si="16"/>
        <v>0</v>
      </c>
    </row>
    <row r="61" spans="1:20" x14ac:dyDescent="0.3">
      <c r="A61" s="162" t="s">
        <v>270</v>
      </c>
      <c r="B61" s="162" t="s">
        <v>260</v>
      </c>
      <c r="C61" s="162" t="s">
        <v>89</v>
      </c>
      <c r="D61" s="162">
        <v>120500</v>
      </c>
      <c r="E61" s="171">
        <v>7</v>
      </c>
      <c r="F61" s="162">
        <f t="shared" si="11"/>
        <v>843500</v>
      </c>
      <c r="G61" s="163">
        <v>2</v>
      </c>
      <c r="H61" s="164" t="s">
        <v>271</v>
      </c>
      <c r="I61" s="165" t="s">
        <v>258</v>
      </c>
      <c r="J61" s="163">
        <v>1</v>
      </c>
      <c r="K61" s="164"/>
      <c r="L61" s="164">
        <f t="shared" si="12"/>
        <v>0</v>
      </c>
      <c r="M61" s="164"/>
      <c r="N61" s="164">
        <f t="shared" si="13"/>
        <v>0</v>
      </c>
      <c r="O61" s="164"/>
      <c r="P61" s="164">
        <f t="shared" si="14"/>
        <v>0</v>
      </c>
      <c r="Q61" s="164"/>
      <c r="R61" s="164">
        <f t="shared" si="15"/>
        <v>0</v>
      </c>
      <c r="S61" s="164"/>
      <c r="T61" s="164">
        <f t="shared" si="16"/>
        <v>0</v>
      </c>
    </row>
    <row r="62" spans="1:20" x14ac:dyDescent="0.3">
      <c r="A62" s="162" t="s">
        <v>272</v>
      </c>
      <c r="B62" s="162" t="s">
        <v>264</v>
      </c>
      <c r="C62" s="162" t="s">
        <v>89</v>
      </c>
      <c r="D62" s="162">
        <v>130900</v>
      </c>
      <c r="E62" s="171">
        <v>2</v>
      </c>
      <c r="F62" s="162">
        <f t="shared" si="11"/>
        <v>261800</v>
      </c>
      <c r="G62" s="163">
        <v>2</v>
      </c>
      <c r="H62" s="164" t="s">
        <v>273</v>
      </c>
      <c r="I62" s="165" t="s">
        <v>262</v>
      </c>
      <c r="J62" s="163">
        <v>1</v>
      </c>
      <c r="K62" s="164"/>
      <c r="L62" s="164">
        <f t="shared" si="12"/>
        <v>0</v>
      </c>
      <c r="M62" s="164"/>
      <c r="N62" s="164">
        <f t="shared" si="13"/>
        <v>0</v>
      </c>
      <c r="O62" s="164"/>
      <c r="P62" s="164">
        <f t="shared" si="14"/>
        <v>0</v>
      </c>
      <c r="Q62" s="164"/>
      <c r="R62" s="164">
        <f t="shared" si="15"/>
        <v>0</v>
      </c>
      <c r="S62" s="164"/>
      <c r="T62" s="164">
        <f t="shared" si="16"/>
        <v>0</v>
      </c>
    </row>
    <row r="63" spans="1:20" x14ac:dyDescent="0.3">
      <c r="A63" s="162" t="s">
        <v>274</v>
      </c>
      <c r="B63" s="162" t="s">
        <v>108</v>
      </c>
      <c r="C63" s="162" t="s">
        <v>89</v>
      </c>
      <c r="D63" s="162">
        <v>79264</v>
      </c>
      <c r="E63" s="171">
        <v>1</v>
      </c>
      <c r="F63" s="162">
        <f t="shared" si="11"/>
        <v>79264</v>
      </c>
      <c r="G63" s="163">
        <v>2</v>
      </c>
      <c r="H63" s="164" t="s">
        <v>275</v>
      </c>
      <c r="I63" s="165" t="s">
        <v>114</v>
      </c>
      <c r="J63" s="163">
        <v>1</v>
      </c>
      <c r="K63" s="164"/>
      <c r="L63" s="164">
        <f t="shared" si="12"/>
        <v>0</v>
      </c>
      <c r="M63" s="164"/>
      <c r="N63" s="164">
        <f t="shared" si="13"/>
        <v>0</v>
      </c>
      <c r="O63" s="164"/>
      <c r="P63" s="164">
        <f t="shared" si="14"/>
        <v>0</v>
      </c>
      <c r="Q63" s="164"/>
      <c r="R63" s="164">
        <f t="shared" si="15"/>
        <v>0</v>
      </c>
      <c r="S63" s="164"/>
      <c r="T63" s="164">
        <f t="shared" si="16"/>
        <v>0</v>
      </c>
    </row>
    <row r="64" spans="1:20" x14ac:dyDescent="0.3">
      <c r="A64" s="162" t="s">
        <v>276</v>
      </c>
      <c r="B64" s="162" t="s">
        <v>247</v>
      </c>
      <c r="C64" s="162" t="s">
        <v>89</v>
      </c>
      <c r="D64" s="162">
        <v>90034</v>
      </c>
      <c r="E64" s="171">
        <v>0</v>
      </c>
      <c r="F64" s="162">
        <f t="shared" si="11"/>
        <v>0</v>
      </c>
      <c r="G64" s="163">
        <v>2</v>
      </c>
      <c r="H64" s="164" t="s">
        <v>277</v>
      </c>
      <c r="I64" s="165" t="s">
        <v>251</v>
      </c>
      <c r="J64" s="163">
        <v>1</v>
      </c>
      <c r="K64" s="164"/>
      <c r="L64" s="164">
        <f t="shared" si="12"/>
        <v>0</v>
      </c>
      <c r="M64" s="164"/>
      <c r="N64" s="164">
        <f t="shared" si="13"/>
        <v>0</v>
      </c>
      <c r="O64" s="164"/>
      <c r="P64" s="164">
        <f t="shared" si="14"/>
        <v>0</v>
      </c>
      <c r="Q64" s="164"/>
      <c r="R64" s="164">
        <f t="shared" si="15"/>
        <v>0</v>
      </c>
      <c r="S64" s="164"/>
      <c r="T64" s="164">
        <f t="shared" si="16"/>
        <v>0</v>
      </c>
    </row>
    <row r="65" spans="1:20" x14ac:dyDescent="0.3">
      <c r="A65" s="162" t="s">
        <v>278</v>
      </c>
      <c r="B65" s="162" t="s">
        <v>256</v>
      </c>
      <c r="C65" s="162" t="s">
        <v>89</v>
      </c>
      <c r="D65" s="162">
        <v>99373</v>
      </c>
      <c r="E65" s="171">
        <v>0</v>
      </c>
      <c r="F65" s="162">
        <f t="shared" si="11"/>
        <v>0</v>
      </c>
      <c r="G65" s="163">
        <v>2</v>
      </c>
      <c r="H65" s="164" t="s">
        <v>279</v>
      </c>
      <c r="I65" s="165" t="s">
        <v>254</v>
      </c>
      <c r="J65" s="163">
        <v>1</v>
      </c>
      <c r="K65" s="164"/>
      <c r="L65" s="164">
        <f t="shared" si="12"/>
        <v>0</v>
      </c>
      <c r="M65" s="164"/>
      <c r="N65" s="164">
        <f t="shared" si="13"/>
        <v>0</v>
      </c>
      <c r="O65" s="164"/>
      <c r="P65" s="164">
        <f t="shared" si="14"/>
        <v>0</v>
      </c>
      <c r="Q65" s="164"/>
      <c r="R65" s="164">
        <f t="shared" si="15"/>
        <v>0</v>
      </c>
      <c r="S65" s="164"/>
      <c r="T65" s="164">
        <f t="shared" si="16"/>
        <v>0</v>
      </c>
    </row>
    <row r="66" spans="1:20" x14ac:dyDescent="0.3">
      <c r="A66" s="162" t="s">
        <v>280</v>
      </c>
      <c r="B66" s="162" t="s">
        <v>260</v>
      </c>
      <c r="C66" s="162" t="s">
        <v>89</v>
      </c>
      <c r="D66" s="162">
        <v>109174</v>
      </c>
      <c r="E66" s="171">
        <v>0</v>
      </c>
      <c r="F66" s="162">
        <f t="shared" si="11"/>
        <v>0</v>
      </c>
      <c r="G66" s="163">
        <v>2</v>
      </c>
      <c r="H66" s="164" t="s">
        <v>281</v>
      </c>
      <c r="I66" s="165" t="s">
        <v>258</v>
      </c>
      <c r="J66" s="163">
        <v>1</v>
      </c>
      <c r="K66" s="164"/>
      <c r="L66" s="164">
        <f t="shared" si="12"/>
        <v>0</v>
      </c>
      <c r="M66" s="164"/>
      <c r="N66" s="164">
        <f t="shared" si="13"/>
        <v>0</v>
      </c>
      <c r="O66" s="164"/>
      <c r="P66" s="164">
        <f t="shared" si="14"/>
        <v>0</v>
      </c>
      <c r="Q66" s="164"/>
      <c r="R66" s="164">
        <f t="shared" si="15"/>
        <v>0</v>
      </c>
      <c r="S66" s="164"/>
      <c r="T66" s="164">
        <f t="shared" si="16"/>
        <v>0</v>
      </c>
    </row>
    <row r="67" spans="1:20" x14ac:dyDescent="0.3">
      <c r="A67" s="162" t="s">
        <v>282</v>
      </c>
      <c r="B67" s="162" t="s">
        <v>264</v>
      </c>
      <c r="C67" s="162" t="s">
        <v>89</v>
      </c>
      <c r="D67" s="162">
        <v>120110</v>
      </c>
      <c r="E67" s="171">
        <v>0</v>
      </c>
      <c r="F67" s="162">
        <f t="shared" si="11"/>
        <v>0</v>
      </c>
      <c r="G67" s="163">
        <v>2</v>
      </c>
      <c r="H67" s="164" t="s">
        <v>283</v>
      </c>
      <c r="I67" s="165" t="s">
        <v>262</v>
      </c>
      <c r="J67" s="163">
        <v>1</v>
      </c>
      <c r="K67" s="164"/>
      <c r="L67" s="164">
        <f t="shared" si="12"/>
        <v>0</v>
      </c>
      <c r="M67" s="164"/>
      <c r="N67" s="164">
        <f t="shared" si="13"/>
        <v>0</v>
      </c>
      <c r="O67" s="164"/>
      <c r="P67" s="164">
        <f t="shared" si="14"/>
        <v>0</v>
      </c>
      <c r="Q67" s="164"/>
      <c r="R67" s="164">
        <f t="shared" si="15"/>
        <v>0</v>
      </c>
      <c r="S67" s="164"/>
      <c r="T67" s="164">
        <f t="shared" si="16"/>
        <v>0</v>
      </c>
    </row>
    <row r="68" spans="1:20" x14ac:dyDescent="0.3">
      <c r="A68" s="162" t="s">
        <v>284</v>
      </c>
      <c r="B68" s="162" t="s">
        <v>247</v>
      </c>
      <c r="C68" s="162" t="s">
        <v>89</v>
      </c>
      <c r="D68" s="162">
        <v>91234</v>
      </c>
      <c r="E68" s="171">
        <v>0</v>
      </c>
      <c r="F68" s="162">
        <f t="shared" si="11"/>
        <v>0</v>
      </c>
      <c r="G68" s="163">
        <v>2</v>
      </c>
      <c r="H68" s="164" t="s">
        <v>113</v>
      </c>
      <c r="I68" s="165" t="s">
        <v>114</v>
      </c>
      <c r="J68" s="163">
        <v>1</v>
      </c>
      <c r="K68" s="164"/>
      <c r="L68" s="164">
        <f t="shared" si="12"/>
        <v>0</v>
      </c>
      <c r="M68" s="164"/>
      <c r="N68" s="164">
        <f t="shared" si="13"/>
        <v>0</v>
      </c>
      <c r="O68" s="164"/>
      <c r="P68" s="164">
        <f t="shared" si="14"/>
        <v>0</v>
      </c>
      <c r="Q68" s="164"/>
      <c r="R68" s="164">
        <f t="shared" si="15"/>
        <v>0</v>
      </c>
      <c r="S68" s="164"/>
      <c r="T68" s="164">
        <f t="shared" si="16"/>
        <v>0</v>
      </c>
    </row>
    <row r="69" spans="1:20" x14ac:dyDescent="0.3">
      <c r="A69" s="162" t="s">
        <v>285</v>
      </c>
      <c r="B69" s="162" t="s">
        <v>256</v>
      </c>
      <c r="C69" s="162" t="s">
        <v>89</v>
      </c>
      <c r="D69" s="162">
        <v>101374</v>
      </c>
      <c r="E69" s="171">
        <v>3</v>
      </c>
      <c r="F69" s="162">
        <f t="shared" si="11"/>
        <v>304122</v>
      </c>
      <c r="G69" s="163">
        <v>2</v>
      </c>
      <c r="H69" s="164" t="s">
        <v>286</v>
      </c>
      <c r="I69" s="165" t="s">
        <v>251</v>
      </c>
      <c r="J69" s="163">
        <v>1</v>
      </c>
      <c r="K69" s="164"/>
      <c r="L69" s="164">
        <f t="shared" si="12"/>
        <v>0</v>
      </c>
      <c r="M69" s="164"/>
      <c r="N69" s="164">
        <f t="shared" si="13"/>
        <v>0</v>
      </c>
      <c r="O69" s="164"/>
      <c r="P69" s="164">
        <f t="shared" si="14"/>
        <v>0</v>
      </c>
      <c r="Q69" s="164"/>
      <c r="R69" s="164">
        <f t="shared" si="15"/>
        <v>0</v>
      </c>
      <c r="S69" s="164"/>
      <c r="T69" s="164">
        <f t="shared" si="16"/>
        <v>0</v>
      </c>
    </row>
    <row r="70" spans="1:20" x14ac:dyDescent="0.3">
      <c r="A70" s="162" t="s">
        <v>287</v>
      </c>
      <c r="B70" s="162" t="s">
        <v>260</v>
      </c>
      <c r="C70" s="162" t="s">
        <v>89</v>
      </c>
      <c r="D70" s="162">
        <v>117474</v>
      </c>
      <c r="E70" s="171">
        <v>0</v>
      </c>
      <c r="F70" s="162">
        <f t="shared" si="11"/>
        <v>0</v>
      </c>
      <c r="G70" s="163">
        <v>2</v>
      </c>
      <c r="H70" s="164" t="s">
        <v>288</v>
      </c>
      <c r="I70" s="165" t="s">
        <v>254</v>
      </c>
      <c r="J70" s="163">
        <v>1</v>
      </c>
      <c r="K70" s="164"/>
      <c r="L70" s="164">
        <f t="shared" si="12"/>
        <v>0</v>
      </c>
      <c r="M70" s="164"/>
      <c r="N70" s="164">
        <f t="shared" si="13"/>
        <v>0</v>
      </c>
      <c r="O70" s="164"/>
      <c r="P70" s="164">
        <f t="shared" si="14"/>
        <v>0</v>
      </c>
      <c r="Q70" s="164"/>
      <c r="R70" s="164">
        <f t="shared" si="15"/>
        <v>0</v>
      </c>
      <c r="S70" s="164"/>
      <c r="T70" s="164">
        <f t="shared" si="16"/>
        <v>0</v>
      </c>
    </row>
    <row r="71" spans="1:20" x14ac:dyDescent="0.3">
      <c r="A71" s="162" t="s">
        <v>289</v>
      </c>
      <c r="B71" s="162" t="s">
        <v>264</v>
      </c>
      <c r="C71" s="162" t="s">
        <v>89</v>
      </c>
      <c r="D71" s="162">
        <v>128200</v>
      </c>
      <c r="E71" s="171">
        <v>0</v>
      </c>
      <c r="F71" s="162">
        <f t="shared" si="11"/>
        <v>0</v>
      </c>
      <c r="G71" s="163">
        <v>2</v>
      </c>
      <c r="H71" s="164" t="s">
        <v>290</v>
      </c>
      <c r="I71" s="165" t="s">
        <v>258</v>
      </c>
      <c r="J71" s="163">
        <v>1</v>
      </c>
      <c r="K71" s="164"/>
      <c r="L71" s="164">
        <f t="shared" si="12"/>
        <v>0</v>
      </c>
      <c r="M71" s="164"/>
      <c r="N71" s="164">
        <f t="shared" si="13"/>
        <v>0</v>
      </c>
      <c r="O71" s="164"/>
      <c r="P71" s="164">
        <f t="shared" si="14"/>
        <v>0</v>
      </c>
      <c r="Q71" s="164"/>
      <c r="R71" s="164">
        <f t="shared" si="15"/>
        <v>0</v>
      </c>
      <c r="S71" s="164"/>
      <c r="T71" s="164">
        <f t="shared" si="16"/>
        <v>0</v>
      </c>
    </row>
    <row r="72" spans="1:20" ht="15" thickBot="1" x14ac:dyDescent="0.35">
      <c r="G72" s="175">
        <v>2</v>
      </c>
      <c r="H72" s="173" t="s">
        <v>291</v>
      </c>
      <c r="I72" s="174" t="s">
        <v>262</v>
      </c>
      <c r="J72" s="175">
        <v>1</v>
      </c>
      <c r="K72" s="173"/>
      <c r="L72" s="173">
        <f t="shared" si="12"/>
        <v>0</v>
      </c>
      <c r="M72" s="173"/>
      <c r="N72" s="173">
        <f t="shared" si="13"/>
        <v>0</v>
      </c>
      <c r="O72" s="173"/>
      <c r="P72" s="173">
        <f t="shared" si="14"/>
        <v>0</v>
      </c>
      <c r="Q72" s="173"/>
      <c r="R72" s="173">
        <f t="shared" si="15"/>
        <v>0</v>
      </c>
      <c r="S72" s="173"/>
      <c r="T72" s="173">
        <f t="shared" si="16"/>
        <v>0</v>
      </c>
    </row>
    <row r="73" spans="1:20" s="166" customFormat="1" ht="15" thickTop="1" x14ac:dyDescent="0.3">
      <c r="G73" s="179"/>
      <c r="H73" s="178"/>
      <c r="I73" s="180" t="s">
        <v>292</v>
      </c>
      <c r="J73" s="179"/>
      <c r="K73" s="181"/>
      <c r="L73" s="178">
        <f>SUM(L53:L72)</f>
        <v>0</v>
      </c>
      <c r="M73" s="181"/>
      <c r="N73" s="178">
        <f>SUM(N53:N72)</f>
        <v>0</v>
      </c>
      <c r="O73" s="181"/>
      <c r="P73" s="178">
        <f>SUM(P53:P72)</f>
        <v>0</v>
      </c>
      <c r="Q73" s="181"/>
      <c r="R73" s="178">
        <f>SUM(R53:R72)</f>
        <v>0</v>
      </c>
      <c r="S73" s="181"/>
      <c r="T73" s="178">
        <f>SUM(T53:T72)</f>
        <v>0</v>
      </c>
    </row>
    <row r="74" spans="1:20" x14ac:dyDescent="0.3">
      <c r="I74" s="176"/>
    </row>
    <row r="75" spans="1:20" x14ac:dyDescent="0.3">
      <c r="A75" s="164" t="s">
        <v>293</v>
      </c>
      <c r="B75" s="164" t="s">
        <v>294</v>
      </c>
      <c r="C75" s="164" t="s">
        <v>295</v>
      </c>
      <c r="D75" s="164">
        <v>74</v>
      </c>
      <c r="E75" s="177">
        <v>72</v>
      </c>
      <c r="F75" s="164">
        <f t="shared" ref="F75:F83" si="17">+E75*D75</f>
        <v>5328</v>
      </c>
      <c r="G75" s="163">
        <v>3</v>
      </c>
      <c r="H75" s="164" t="s">
        <v>296</v>
      </c>
      <c r="I75" s="165" t="s">
        <v>297</v>
      </c>
      <c r="J75" s="163">
        <v>1</v>
      </c>
      <c r="K75" s="164"/>
      <c r="L75" s="164">
        <f t="shared" ref="L75:L92" si="18">J75*K75</f>
        <v>0</v>
      </c>
      <c r="M75" s="164"/>
      <c r="N75" s="164">
        <f t="shared" ref="N75:N92" si="19">J75*M75</f>
        <v>0</v>
      </c>
      <c r="O75" s="164"/>
      <c r="P75" s="164">
        <f t="shared" ref="P75:P92" si="20">J75*O75</f>
        <v>0</v>
      </c>
      <c r="Q75" s="164"/>
      <c r="R75" s="164">
        <f t="shared" ref="R75:R92" si="21">J75*Q75</f>
        <v>0</v>
      </c>
      <c r="S75" s="164"/>
      <c r="T75" s="164">
        <f t="shared" ref="T75:T92" si="22">J75*S75</f>
        <v>0</v>
      </c>
    </row>
    <row r="76" spans="1:20" x14ac:dyDescent="0.3">
      <c r="E76" s="171"/>
      <c r="G76" s="163">
        <v>3</v>
      </c>
      <c r="H76" s="164" t="s">
        <v>298</v>
      </c>
      <c r="I76" s="165" t="s">
        <v>299</v>
      </c>
      <c r="J76" s="163">
        <v>1</v>
      </c>
      <c r="K76" s="164"/>
      <c r="L76" s="164">
        <f t="shared" si="18"/>
        <v>0</v>
      </c>
      <c r="M76" s="164"/>
      <c r="N76" s="164">
        <f t="shared" si="19"/>
        <v>0</v>
      </c>
      <c r="O76" s="164"/>
      <c r="P76" s="164">
        <f t="shared" si="20"/>
        <v>0</v>
      </c>
      <c r="Q76" s="164"/>
      <c r="R76" s="164">
        <f t="shared" si="21"/>
        <v>0</v>
      </c>
      <c r="S76" s="164"/>
      <c r="T76" s="164">
        <f t="shared" si="22"/>
        <v>0</v>
      </c>
    </row>
    <row r="77" spans="1:20" x14ac:dyDescent="0.3">
      <c r="E77" s="171"/>
      <c r="G77" s="163">
        <v>3</v>
      </c>
      <c r="H77" s="164" t="s">
        <v>300</v>
      </c>
      <c r="I77" s="165" t="s">
        <v>301</v>
      </c>
      <c r="J77" s="163">
        <v>1</v>
      </c>
      <c r="K77" s="164"/>
      <c r="L77" s="164">
        <f t="shared" si="18"/>
        <v>0</v>
      </c>
      <c r="M77" s="164"/>
      <c r="N77" s="164">
        <f t="shared" si="19"/>
        <v>0</v>
      </c>
      <c r="O77" s="164"/>
      <c r="P77" s="164">
        <f t="shared" si="20"/>
        <v>0</v>
      </c>
      <c r="Q77" s="164"/>
      <c r="R77" s="164">
        <f t="shared" si="21"/>
        <v>0</v>
      </c>
      <c r="S77" s="164"/>
      <c r="T77" s="164">
        <f t="shared" si="22"/>
        <v>0</v>
      </c>
    </row>
    <row r="78" spans="1:20" x14ac:dyDescent="0.3">
      <c r="A78" s="162" t="s">
        <v>302</v>
      </c>
      <c r="B78" s="162" t="s">
        <v>303</v>
      </c>
      <c r="C78" s="162" t="s">
        <v>295</v>
      </c>
      <c r="D78" s="162">
        <v>37</v>
      </c>
      <c r="E78" s="171">
        <v>12</v>
      </c>
      <c r="F78" s="162">
        <f t="shared" si="17"/>
        <v>444</v>
      </c>
      <c r="G78" s="163">
        <v>3</v>
      </c>
      <c r="H78" s="164" t="s">
        <v>304</v>
      </c>
      <c r="I78" s="165" t="s">
        <v>305</v>
      </c>
      <c r="J78" s="163">
        <v>1</v>
      </c>
      <c r="K78" s="164"/>
      <c r="L78" s="164">
        <f t="shared" si="18"/>
        <v>0</v>
      </c>
      <c r="M78" s="164"/>
      <c r="N78" s="164">
        <f t="shared" si="19"/>
        <v>0</v>
      </c>
      <c r="O78" s="164"/>
      <c r="P78" s="164">
        <f t="shared" si="20"/>
        <v>0</v>
      </c>
      <c r="Q78" s="164"/>
      <c r="R78" s="164">
        <f t="shared" si="21"/>
        <v>0</v>
      </c>
      <c r="S78" s="164"/>
      <c r="T78" s="164">
        <f t="shared" si="22"/>
        <v>0</v>
      </c>
    </row>
    <row r="79" spans="1:20" x14ac:dyDescent="0.3">
      <c r="A79" s="162" t="s">
        <v>306</v>
      </c>
      <c r="B79" s="162" t="s">
        <v>307</v>
      </c>
      <c r="C79" s="162" t="s">
        <v>295</v>
      </c>
      <c r="D79" s="162">
        <v>92</v>
      </c>
      <c r="E79" s="171">
        <v>248</v>
      </c>
      <c r="F79" s="162">
        <f t="shared" si="17"/>
        <v>22816</v>
      </c>
      <c r="G79" s="163">
        <v>3</v>
      </c>
      <c r="H79" s="164" t="s">
        <v>308</v>
      </c>
      <c r="I79" s="165" t="s">
        <v>309</v>
      </c>
      <c r="J79" s="163">
        <v>1</v>
      </c>
      <c r="K79" s="164"/>
      <c r="L79" s="164">
        <f t="shared" si="18"/>
        <v>0</v>
      </c>
      <c r="M79" s="164"/>
      <c r="N79" s="164">
        <f t="shared" si="19"/>
        <v>0</v>
      </c>
      <c r="O79" s="164"/>
      <c r="P79" s="164">
        <f t="shared" si="20"/>
        <v>0</v>
      </c>
      <c r="Q79" s="164"/>
      <c r="R79" s="164">
        <f t="shared" si="21"/>
        <v>0</v>
      </c>
      <c r="S79" s="164"/>
      <c r="T79" s="164">
        <f t="shared" si="22"/>
        <v>0</v>
      </c>
    </row>
    <row r="80" spans="1:20" x14ac:dyDescent="0.3">
      <c r="A80" s="162" t="s">
        <v>310</v>
      </c>
      <c r="B80" s="162" t="s">
        <v>311</v>
      </c>
      <c r="C80" s="162" t="s">
        <v>295</v>
      </c>
      <c r="D80" s="162">
        <v>46</v>
      </c>
      <c r="E80" s="171">
        <v>0</v>
      </c>
      <c r="F80" s="162">
        <f t="shared" si="17"/>
        <v>0</v>
      </c>
      <c r="G80" s="163">
        <v>3</v>
      </c>
      <c r="H80" s="164" t="s">
        <v>312</v>
      </c>
      <c r="I80" s="165" t="s">
        <v>313</v>
      </c>
      <c r="J80" s="163">
        <v>1</v>
      </c>
      <c r="K80" s="164"/>
      <c r="L80" s="164">
        <f t="shared" si="18"/>
        <v>0</v>
      </c>
      <c r="M80" s="164"/>
      <c r="N80" s="164">
        <f t="shared" si="19"/>
        <v>0</v>
      </c>
      <c r="O80" s="164"/>
      <c r="P80" s="164">
        <f t="shared" si="20"/>
        <v>0</v>
      </c>
      <c r="Q80" s="164"/>
      <c r="R80" s="164">
        <f t="shared" si="21"/>
        <v>0</v>
      </c>
      <c r="S80" s="164"/>
      <c r="T80" s="164">
        <f t="shared" si="22"/>
        <v>0</v>
      </c>
    </row>
    <row r="81" spans="1:20" x14ac:dyDescent="0.3">
      <c r="A81" s="162" t="s">
        <v>314</v>
      </c>
      <c r="B81" s="162" t="s">
        <v>315</v>
      </c>
      <c r="C81" s="162" t="s">
        <v>295</v>
      </c>
      <c r="D81" s="162">
        <v>110</v>
      </c>
      <c r="E81" s="171">
        <v>460</v>
      </c>
      <c r="F81" s="162">
        <f t="shared" si="17"/>
        <v>50600</v>
      </c>
      <c r="G81" s="163">
        <v>3</v>
      </c>
      <c r="H81" s="164" t="s">
        <v>316</v>
      </c>
      <c r="I81" s="165" t="s">
        <v>317</v>
      </c>
      <c r="J81" s="163">
        <v>1</v>
      </c>
      <c r="K81" s="164"/>
      <c r="L81" s="164">
        <f t="shared" si="18"/>
        <v>0</v>
      </c>
      <c r="M81" s="164"/>
      <c r="N81" s="164">
        <f t="shared" si="19"/>
        <v>0</v>
      </c>
      <c r="O81" s="164"/>
      <c r="P81" s="164">
        <f t="shared" si="20"/>
        <v>0</v>
      </c>
      <c r="Q81" s="164"/>
      <c r="R81" s="164">
        <f t="shared" si="21"/>
        <v>0</v>
      </c>
      <c r="S81" s="164"/>
      <c r="T81" s="164">
        <f t="shared" si="22"/>
        <v>0</v>
      </c>
    </row>
    <row r="82" spans="1:20" x14ac:dyDescent="0.3">
      <c r="A82" s="162" t="s">
        <v>318</v>
      </c>
      <c r="B82" s="162" t="s">
        <v>319</v>
      </c>
      <c r="C82" s="162" t="s">
        <v>295</v>
      </c>
      <c r="D82" s="162">
        <v>55</v>
      </c>
      <c r="E82" s="171">
        <v>0</v>
      </c>
      <c r="F82" s="162">
        <f t="shared" si="17"/>
        <v>0</v>
      </c>
      <c r="G82" s="163">
        <v>3</v>
      </c>
      <c r="H82" s="164" t="s">
        <v>320</v>
      </c>
      <c r="I82" s="165" t="s">
        <v>321</v>
      </c>
      <c r="J82" s="163">
        <v>1</v>
      </c>
      <c r="K82" s="164"/>
      <c r="L82" s="164">
        <f t="shared" si="18"/>
        <v>0</v>
      </c>
      <c r="M82" s="164"/>
      <c r="N82" s="164">
        <f t="shared" si="19"/>
        <v>0</v>
      </c>
      <c r="O82" s="164"/>
      <c r="P82" s="164">
        <f t="shared" si="20"/>
        <v>0</v>
      </c>
      <c r="Q82" s="164"/>
      <c r="R82" s="164">
        <f t="shared" si="21"/>
        <v>0</v>
      </c>
      <c r="S82" s="164"/>
      <c r="T82" s="164">
        <f t="shared" si="22"/>
        <v>0</v>
      </c>
    </row>
    <row r="83" spans="1:20" x14ac:dyDescent="0.3">
      <c r="A83" s="162" t="s">
        <v>322</v>
      </c>
      <c r="B83" s="162" t="s">
        <v>323</v>
      </c>
      <c r="C83" s="162" t="s">
        <v>142</v>
      </c>
      <c r="D83" s="162">
        <v>9000</v>
      </c>
      <c r="E83" s="171">
        <v>79</v>
      </c>
      <c r="F83" s="162">
        <f t="shared" si="17"/>
        <v>711000</v>
      </c>
      <c r="G83" s="163">
        <v>3</v>
      </c>
      <c r="H83" s="164" t="s">
        <v>324</v>
      </c>
      <c r="I83" s="165" t="s">
        <v>325</v>
      </c>
      <c r="J83" s="163">
        <v>1</v>
      </c>
      <c r="K83" s="164"/>
      <c r="L83" s="164">
        <f t="shared" si="18"/>
        <v>0</v>
      </c>
      <c r="M83" s="164"/>
      <c r="N83" s="164">
        <f t="shared" si="19"/>
        <v>0</v>
      </c>
      <c r="O83" s="164"/>
      <c r="P83" s="164">
        <f t="shared" si="20"/>
        <v>0</v>
      </c>
      <c r="Q83" s="164"/>
      <c r="R83" s="164">
        <f t="shared" si="21"/>
        <v>0</v>
      </c>
      <c r="S83" s="164"/>
      <c r="T83" s="164">
        <f t="shared" si="22"/>
        <v>0</v>
      </c>
    </row>
    <row r="84" spans="1:20" x14ac:dyDescent="0.3">
      <c r="G84" s="163">
        <v>3</v>
      </c>
      <c r="H84" s="164" t="s">
        <v>326</v>
      </c>
      <c r="I84" s="164" t="s">
        <v>323</v>
      </c>
      <c r="J84" s="163">
        <v>3</v>
      </c>
      <c r="K84" s="164"/>
      <c r="L84" s="164">
        <f t="shared" si="18"/>
        <v>0</v>
      </c>
      <c r="M84" s="164"/>
      <c r="N84" s="164">
        <f t="shared" si="19"/>
        <v>0</v>
      </c>
      <c r="O84" s="164"/>
      <c r="P84" s="164">
        <f t="shared" si="20"/>
        <v>0</v>
      </c>
      <c r="Q84" s="164"/>
      <c r="R84" s="164">
        <f t="shared" si="21"/>
        <v>0</v>
      </c>
      <c r="S84" s="164"/>
      <c r="T84" s="164">
        <f t="shared" si="22"/>
        <v>0</v>
      </c>
    </row>
    <row r="85" spans="1:20" x14ac:dyDescent="0.3">
      <c r="G85" s="163">
        <v>3</v>
      </c>
      <c r="H85" s="164" t="s">
        <v>327</v>
      </c>
      <c r="I85" s="164" t="s">
        <v>328</v>
      </c>
      <c r="J85" s="163">
        <v>1</v>
      </c>
      <c r="K85" s="164"/>
      <c r="L85" s="164">
        <f t="shared" si="18"/>
        <v>0</v>
      </c>
      <c r="M85" s="164"/>
      <c r="N85" s="164">
        <f t="shared" si="19"/>
        <v>0</v>
      </c>
      <c r="O85" s="164"/>
      <c r="P85" s="164">
        <f t="shared" si="20"/>
        <v>0</v>
      </c>
      <c r="Q85" s="164"/>
      <c r="R85" s="164">
        <f t="shared" si="21"/>
        <v>0</v>
      </c>
      <c r="S85" s="164"/>
      <c r="T85" s="164">
        <f t="shared" si="22"/>
        <v>0</v>
      </c>
    </row>
    <row r="86" spans="1:20" x14ac:dyDescent="0.3">
      <c r="G86" s="163">
        <v>3</v>
      </c>
      <c r="H86" s="164" t="s">
        <v>329</v>
      </c>
      <c r="I86" s="164" t="s">
        <v>330</v>
      </c>
      <c r="J86" s="163">
        <v>1</v>
      </c>
      <c r="K86" s="164"/>
      <c r="L86" s="164">
        <f t="shared" si="18"/>
        <v>0</v>
      </c>
      <c r="M86" s="164"/>
      <c r="N86" s="164">
        <f t="shared" si="19"/>
        <v>0</v>
      </c>
      <c r="O86" s="164"/>
      <c r="P86" s="164">
        <f t="shared" si="20"/>
        <v>0</v>
      </c>
      <c r="Q86" s="164"/>
      <c r="R86" s="164">
        <f t="shared" si="21"/>
        <v>0</v>
      </c>
      <c r="S86" s="164"/>
      <c r="T86" s="164">
        <f t="shared" si="22"/>
        <v>0</v>
      </c>
    </row>
    <row r="87" spans="1:20" x14ac:dyDescent="0.3">
      <c r="G87" s="163">
        <v>3</v>
      </c>
      <c r="H87" s="164" t="s">
        <v>331</v>
      </c>
      <c r="I87" s="164" t="s">
        <v>332</v>
      </c>
      <c r="J87" s="163">
        <v>1</v>
      </c>
      <c r="K87" s="164"/>
      <c r="L87" s="164">
        <f t="shared" si="18"/>
        <v>0</v>
      </c>
      <c r="M87" s="164"/>
      <c r="N87" s="164">
        <f t="shared" si="19"/>
        <v>0</v>
      </c>
      <c r="O87" s="164"/>
      <c r="P87" s="164">
        <f t="shared" si="20"/>
        <v>0</v>
      </c>
      <c r="Q87" s="164"/>
      <c r="R87" s="164">
        <f t="shared" si="21"/>
        <v>0</v>
      </c>
      <c r="S87" s="164"/>
      <c r="T87" s="164">
        <f t="shared" si="22"/>
        <v>0</v>
      </c>
    </row>
    <row r="88" spans="1:20" x14ac:dyDescent="0.3">
      <c r="G88" s="163">
        <v>3</v>
      </c>
      <c r="H88" s="164" t="s">
        <v>333</v>
      </c>
      <c r="I88" s="164" t="s">
        <v>334</v>
      </c>
      <c r="J88" s="163">
        <v>1</v>
      </c>
      <c r="K88" s="164"/>
      <c r="L88" s="164">
        <f t="shared" si="18"/>
        <v>0</v>
      </c>
      <c r="M88" s="164"/>
      <c r="N88" s="164">
        <f t="shared" si="19"/>
        <v>0</v>
      </c>
      <c r="O88" s="164"/>
      <c r="P88" s="164">
        <f t="shared" si="20"/>
        <v>0</v>
      </c>
      <c r="Q88" s="164"/>
      <c r="R88" s="164">
        <f t="shared" si="21"/>
        <v>0</v>
      </c>
      <c r="S88" s="164"/>
      <c r="T88" s="164">
        <f t="shared" si="22"/>
        <v>0</v>
      </c>
    </row>
    <row r="89" spans="1:20" x14ac:dyDescent="0.3">
      <c r="G89" s="163">
        <v>3</v>
      </c>
      <c r="H89" s="164" t="s">
        <v>335</v>
      </c>
      <c r="I89" s="164" t="s">
        <v>336</v>
      </c>
      <c r="J89" s="163">
        <v>1</v>
      </c>
      <c r="K89" s="164"/>
      <c r="L89" s="164">
        <f t="shared" si="18"/>
        <v>0</v>
      </c>
      <c r="M89" s="164"/>
      <c r="N89" s="164">
        <f t="shared" si="19"/>
        <v>0</v>
      </c>
      <c r="O89" s="164"/>
      <c r="P89" s="164">
        <f t="shared" si="20"/>
        <v>0</v>
      </c>
      <c r="Q89" s="164"/>
      <c r="R89" s="164">
        <f t="shared" si="21"/>
        <v>0</v>
      </c>
      <c r="S89" s="164"/>
      <c r="T89" s="164">
        <f t="shared" si="22"/>
        <v>0</v>
      </c>
    </row>
    <row r="90" spans="1:20" x14ac:dyDescent="0.3">
      <c r="G90" s="163">
        <v>3</v>
      </c>
      <c r="H90" s="164" t="s">
        <v>337</v>
      </c>
      <c r="I90" s="164" t="s">
        <v>338</v>
      </c>
      <c r="J90" s="163">
        <v>1</v>
      </c>
      <c r="K90" s="164"/>
      <c r="L90" s="164">
        <f t="shared" si="18"/>
        <v>0</v>
      </c>
      <c r="M90" s="164"/>
      <c r="N90" s="164">
        <f t="shared" si="19"/>
        <v>0</v>
      </c>
      <c r="O90" s="164"/>
      <c r="P90" s="164">
        <f t="shared" si="20"/>
        <v>0</v>
      </c>
      <c r="Q90" s="164"/>
      <c r="R90" s="164">
        <f t="shared" si="21"/>
        <v>0</v>
      </c>
      <c r="S90" s="164"/>
      <c r="T90" s="164">
        <f t="shared" si="22"/>
        <v>0</v>
      </c>
    </row>
    <row r="91" spans="1:20" x14ac:dyDescent="0.3">
      <c r="G91" s="163">
        <v>3</v>
      </c>
      <c r="H91" s="164" t="s">
        <v>339</v>
      </c>
      <c r="I91" s="164" t="s">
        <v>340</v>
      </c>
      <c r="J91" s="163">
        <v>1</v>
      </c>
      <c r="K91" s="164"/>
      <c r="L91" s="164">
        <f>J91*K91</f>
        <v>0</v>
      </c>
      <c r="M91" s="164"/>
      <c r="N91" s="164">
        <f>J91*M91</f>
        <v>0</v>
      </c>
      <c r="O91" s="164"/>
      <c r="P91" s="164">
        <f>J91*O91</f>
        <v>0</v>
      </c>
      <c r="Q91" s="164"/>
      <c r="R91" s="164">
        <f>J91*Q91</f>
        <v>0</v>
      </c>
      <c r="S91" s="164"/>
      <c r="T91" s="164">
        <f>J91*S91</f>
        <v>0</v>
      </c>
    </row>
    <row r="92" spans="1:20" ht="15" thickBot="1" x14ac:dyDescent="0.35">
      <c r="G92" s="175">
        <v>3</v>
      </c>
      <c r="H92" s="173" t="s">
        <v>341</v>
      </c>
      <c r="I92" s="173" t="s">
        <v>342</v>
      </c>
      <c r="J92" s="175">
        <v>1</v>
      </c>
      <c r="K92" s="173"/>
      <c r="L92" s="173">
        <f t="shared" si="18"/>
        <v>0</v>
      </c>
      <c r="M92" s="173"/>
      <c r="N92" s="173">
        <f t="shared" si="19"/>
        <v>0</v>
      </c>
      <c r="O92" s="173"/>
      <c r="P92" s="173">
        <f t="shared" si="20"/>
        <v>0</v>
      </c>
      <c r="Q92" s="173"/>
      <c r="R92" s="173">
        <f t="shared" si="21"/>
        <v>0</v>
      </c>
      <c r="S92" s="173"/>
      <c r="T92" s="173">
        <f t="shared" si="22"/>
        <v>0</v>
      </c>
    </row>
    <row r="93" spans="1:20" s="166" customFormat="1" ht="15" thickTop="1" x14ac:dyDescent="0.3">
      <c r="G93" s="179"/>
      <c r="H93" s="178"/>
      <c r="I93" s="180" t="s">
        <v>343</v>
      </c>
      <c r="J93" s="179"/>
      <c r="K93" s="181"/>
      <c r="L93" s="178">
        <f>SUM(L75:L92)</f>
        <v>0</v>
      </c>
      <c r="M93" s="181"/>
      <c r="N93" s="178">
        <f>SUM(N75:N92)</f>
        <v>0</v>
      </c>
      <c r="O93" s="181"/>
      <c r="P93" s="178">
        <f>SUM(P75:P92)</f>
        <v>0</v>
      </c>
      <c r="Q93" s="181"/>
      <c r="R93" s="178">
        <f>SUM(R75:R92)</f>
        <v>0</v>
      </c>
      <c r="S93" s="181"/>
      <c r="T93" s="178">
        <f>SUM(T75:T92)</f>
        <v>0</v>
      </c>
    </row>
    <row r="94" spans="1:20" x14ac:dyDescent="0.3">
      <c r="I94" s="176"/>
    </row>
    <row r="95" spans="1:20" x14ac:dyDescent="0.3">
      <c r="A95" s="164"/>
      <c r="B95" s="164"/>
      <c r="C95" s="164"/>
      <c r="D95" s="164"/>
      <c r="E95" s="164"/>
      <c r="F95" s="164"/>
      <c r="G95" s="163">
        <v>4</v>
      </c>
      <c r="H95" s="164" t="s">
        <v>344</v>
      </c>
      <c r="I95" s="164" t="s">
        <v>345</v>
      </c>
      <c r="J95">
        <v>2</v>
      </c>
      <c r="K95" s="164"/>
      <c r="L95" s="164">
        <f t="shared" ref="L95:L204" si="23">J95*K95</f>
        <v>0</v>
      </c>
      <c r="M95" s="164"/>
      <c r="N95" s="164">
        <f t="shared" ref="N95:N204" si="24">J95*M95</f>
        <v>0</v>
      </c>
      <c r="O95" s="164"/>
      <c r="P95" s="164">
        <f t="shared" ref="P95:P204" si="25">J95*O95</f>
        <v>0</v>
      </c>
      <c r="Q95" s="164"/>
      <c r="R95" s="164">
        <f t="shared" ref="R95:R204" si="26">J95*Q95</f>
        <v>0</v>
      </c>
      <c r="S95" s="164"/>
      <c r="T95" s="164">
        <f t="shared" ref="T95:T204" si="27">J95*S95</f>
        <v>0</v>
      </c>
    </row>
    <row r="96" spans="1:20" x14ac:dyDescent="0.3">
      <c r="G96" s="163">
        <v>4</v>
      </c>
      <c r="H96" s="164" t="s">
        <v>346</v>
      </c>
      <c r="I96" s="164" t="s">
        <v>347</v>
      </c>
      <c r="J96">
        <v>1</v>
      </c>
      <c r="K96" s="164"/>
      <c r="L96" s="164">
        <f t="shared" si="23"/>
        <v>0</v>
      </c>
      <c r="M96" s="164"/>
      <c r="N96" s="164">
        <f t="shared" si="24"/>
        <v>0</v>
      </c>
      <c r="O96" s="164"/>
      <c r="P96" s="164">
        <f t="shared" si="25"/>
        <v>0</v>
      </c>
      <c r="Q96" s="164"/>
      <c r="R96" s="164">
        <f t="shared" si="26"/>
        <v>0</v>
      </c>
      <c r="S96" s="164"/>
      <c r="T96" s="164">
        <f t="shared" si="27"/>
        <v>0</v>
      </c>
    </row>
    <row r="97" spans="7:20" x14ac:dyDescent="0.3">
      <c r="G97" s="163">
        <v>4</v>
      </c>
      <c r="H97" s="164" t="s">
        <v>348</v>
      </c>
      <c r="I97" s="164" t="s">
        <v>349</v>
      </c>
      <c r="J97">
        <v>2</v>
      </c>
      <c r="K97" s="164"/>
      <c r="L97" s="164">
        <f t="shared" si="23"/>
        <v>0</v>
      </c>
      <c r="M97" s="164"/>
      <c r="N97" s="164">
        <f t="shared" si="24"/>
        <v>0</v>
      </c>
      <c r="O97" s="164"/>
      <c r="P97" s="164">
        <f t="shared" si="25"/>
        <v>0</v>
      </c>
      <c r="Q97" s="164"/>
      <c r="R97" s="164">
        <f t="shared" si="26"/>
        <v>0</v>
      </c>
      <c r="S97" s="164"/>
      <c r="T97" s="164">
        <f t="shared" si="27"/>
        <v>0</v>
      </c>
    </row>
    <row r="98" spans="7:20" x14ac:dyDescent="0.3">
      <c r="G98" s="163">
        <v>4</v>
      </c>
      <c r="H98" s="164" t="s">
        <v>350</v>
      </c>
      <c r="I98" s="164" t="s">
        <v>351</v>
      </c>
      <c r="J98">
        <v>1</v>
      </c>
      <c r="K98" s="164"/>
      <c r="L98" s="164">
        <f t="shared" si="23"/>
        <v>0</v>
      </c>
      <c r="M98" s="164"/>
      <c r="N98" s="164">
        <f t="shared" si="24"/>
        <v>0</v>
      </c>
      <c r="O98" s="164"/>
      <c r="P98" s="164">
        <f t="shared" si="25"/>
        <v>0</v>
      </c>
      <c r="Q98" s="164"/>
      <c r="R98" s="164">
        <f t="shared" si="26"/>
        <v>0</v>
      </c>
      <c r="S98" s="164"/>
      <c r="T98" s="164">
        <f t="shared" si="27"/>
        <v>0</v>
      </c>
    </row>
    <row r="99" spans="7:20" x14ac:dyDescent="0.3">
      <c r="G99" s="163">
        <v>4</v>
      </c>
      <c r="H99" s="164" t="s">
        <v>352</v>
      </c>
      <c r="I99" s="164" t="s">
        <v>353</v>
      </c>
      <c r="J99">
        <v>2</v>
      </c>
      <c r="K99" s="164"/>
      <c r="L99" s="164">
        <f t="shared" si="23"/>
        <v>0</v>
      </c>
      <c r="M99" s="164"/>
      <c r="N99" s="164">
        <f t="shared" si="24"/>
        <v>0</v>
      </c>
      <c r="O99" s="164"/>
      <c r="P99" s="164">
        <f t="shared" si="25"/>
        <v>0</v>
      </c>
      <c r="Q99" s="164"/>
      <c r="R99" s="164">
        <f t="shared" si="26"/>
        <v>0</v>
      </c>
      <c r="S99" s="164"/>
      <c r="T99" s="164">
        <f t="shared" si="27"/>
        <v>0</v>
      </c>
    </row>
    <row r="100" spans="7:20" x14ac:dyDescent="0.3">
      <c r="G100" s="163">
        <v>4</v>
      </c>
      <c r="H100" s="164" t="s">
        <v>354</v>
      </c>
      <c r="I100" s="164" t="s">
        <v>355</v>
      </c>
      <c r="J100">
        <v>1</v>
      </c>
      <c r="K100" s="164"/>
      <c r="L100" s="164">
        <f t="shared" si="23"/>
        <v>0</v>
      </c>
      <c r="M100" s="164"/>
      <c r="N100" s="164">
        <f t="shared" si="24"/>
        <v>0</v>
      </c>
      <c r="O100" s="164"/>
      <c r="P100" s="164">
        <f t="shared" si="25"/>
        <v>0</v>
      </c>
      <c r="Q100" s="164"/>
      <c r="R100" s="164">
        <f t="shared" si="26"/>
        <v>0</v>
      </c>
      <c r="S100" s="164"/>
      <c r="T100" s="164">
        <f t="shared" si="27"/>
        <v>0</v>
      </c>
    </row>
    <row r="101" spans="7:20" x14ac:dyDescent="0.3">
      <c r="G101" s="163">
        <v>4</v>
      </c>
      <c r="H101" s="164" t="s">
        <v>356</v>
      </c>
      <c r="I101" s="164" t="s">
        <v>357</v>
      </c>
      <c r="J101">
        <v>2</v>
      </c>
      <c r="K101" s="164"/>
      <c r="L101" s="164">
        <f t="shared" si="23"/>
        <v>0</v>
      </c>
      <c r="M101" s="164"/>
      <c r="N101" s="164">
        <f t="shared" si="24"/>
        <v>0</v>
      </c>
      <c r="O101" s="164"/>
      <c r="P101" s="164">
        <f t="shared" si="25"/>
        <v>0</v>
      </c>
      <c r="Q101" s="164"/>
      <c r="R101" s="164">
        <f t="shared" si="26"/>
        <v>0</v>
      </c>
      <c r="S101" s="164"/>
      <c r="T101" s="164">
        <f t="shared" si="27"/>
        <v>0</v>
      </c>
    </row>
    <row r="102" spans="7:20" x14ac:dyDescent="0.3">
      <c r="G102" s="163">
        <v>4</v>
      </c>
      <c r="H102" s="164" t="s">
        <v>358</v>
      </c>
      <c r="I102" s="164" t="s">
        <v>359</v>
      </c>
      <c r="J102">
        <v>2</v>
      </c>
      <c r="K102" s="164"/>
      <c r="L102" s="164">
        <f t="shared" si="23"/>
        <v>0</v>
      </c>
      <c r="M102" s="164"/>
      <c r="N102" s="164">
        <f t="shared" si="24"/>
        <v>0</v>
      </c>
      <c r="O102" s="164"/>
      <c r="P102" s="164">
        <f t="shared" si="25"/>
        <v>0</v>
      </c>
      <c r="Q102" s="164"/>
      <c r="R102" s="164">
        <f t="shared" si="26"/>
        <v>0</v>
      </c>
      <c r="S102" s="164"/>
      <c r="T102" s="164">
        <f t="shared" si="27"/>
        <v>0</v>
      </c>
    </row>
    <row r="103" spans="7:20" x14ac:dyDescent="0.3">
      <c r="G103" s="163">
        <v>4</v>
      </c>
      <c r="H103" s="164" t="s">
        <v>360</v>
      </c>
      <c r="I103" s="164" t="s">
        <v>361</v>
      </c>
      <c r="J103">
        <v>2</v>
      </c>
      <c r="K103" s="164"/>
      <c r="L103" s="164">
        <f t="shared" si="23"/>
        <v>0</v>
      </c>
      <c r="M103" s="164"/>
      <c r="N103" s="164">
        <f t="shared" si="24"/>
        <v>0</v>
      </c>
      <c r="O103" s="164"/>
      <c r="P103" s="164">
        <f t="shared" si="25"/>
        <v>0</v>
      </c>
      <c r="Q103" s="164"/>
      <c r="R103" s="164">
        <f t="shared" si="26"/>
        <v>0</v>
      </c>
      <c r="S103" s="164"/>
      <c r="T103" s="164">
        <f t="shared" si="27"/>
        <v>0</v>
      </c>
    </row>
    <row r="104" spans="7:20" x14ac:dyDescent="0.3">
      <c r="G104" s="163">
        <v>4</v>
      </c>
      <c r="H104" s="164" t="s">
        <v>362</v>
      </c>
      <c r="I104" s="164" t="s">
        <v>363</v>
      </c>
      <c r="J104">
        <v>1</v>
      </c>
      <c r="K104" s="164"/>
      <c r="L104" s="164">
        <f t="shared" si="23"/>
        <v>0</v>
      </c>
      <c r="M104" s="164"/>
      <c r="N104" s="164">
        <f t="shared" si="24"/>
        <v>0</v>
      </c>
      <c r="O104" s="164"/>
      <c r="P104" s="164">
        <f t="shared" si="25"/>
        <v>0</v>
      </c>
      <c r="Q104" s="164"/>
      <c r="R104" s="164">
        <f t="shared" si="26"/>
        <v>0</v>
      </c>
      <c r="S104" s="164"/>
      <c r="T104" s="164">
        <f t="shared" si="27"/>
        <v>0</v>
      </c>
    </row>
    <row r="105" spans="7:20" x14ac:dyDescent="0.3">
      <c r="G105" s="163">
        <v>4</v>
      </c>
      <c r="H105" s="164" t="s">
        <v>364</v>
      </c>
      <c r="I105" s="164" t="s">
        <v>365</v>
      </c>
      <c r="J105">
        <v>1</v>
      </c>
      <c r="K105" s="164"/>
      <c r="L105" s="164">
        <f t="shared" si="23"/>
        <v>0</v>
      </c>
      <c r="M105" s="164"/>
      <c r="N105" s="164">
        <f t="shared" si="24"/>
        <v>0</v>
      </c>
      <c r="O105" s="164"/>
      <c r="P105" s="164">
        <f t="shared" si="25"/>
        <v>0</v>
      </c>
      <c r="Q105" s="164"/>
      <c r="R105" s="164">
        <f t="shared" si="26"/>
        <v>0</v>
      </c>
      <c r="S105" s="164"/>
      <c r="T105" s="164">
        <f t="shared" si="27"/>
        <v>0</v>
      </c>
    </row>
    <row r="106" spans="7:20" x14ac:dyDescent="0.3">
      <c r="G106" s="163">
        <v>4</v>
      </c>
      <c r="H106" s="164" t="s">
        <v>366</v>
      </c>
      <c r="I106" s="164" t="s">
        <v>367</v>
      </c>
      <c r="J106">
        <v>2</v>
      </c>
      <c r="K106" s="164"/>
      <c r="L106" s="164">
        <f t="shared" si="23"/>
        <v>0</v>
      </c>
      <c r="M106" s="164"/>
      <c r="N106" s="164">
        <f t="shared" si="24"/>
        <v>0</v>
      </c>
      <c r="O106" s="164"/>
      <c r="P106" s="164">
        <f t="shared" si="25"/>
        <v>0</v>
      </c>
      <c r="Q106" s="164"/>
      <c r="R106" s="164">
        <f t="shared" si="26"/>
        <v>0</v>
      </c>
      <c r="S106" s="164"/>
      <c r="T106" s="164">
        <f t="shared" si="27"/>
        <v>0</v>
      </c>
    </row>
    <row r="107" spans="7:20" x14ac:dyDescent="0.3">
      <c r="G107" s="163">
        <v>4</v>
      </c>
      <c r="H107" s="164" t="s">
        <v>368</v>
      </c>
      <c r="I107" s="164" t="s">
        <v>369</v>
      </c>
      <c r="J107">
        <v>1</v>
      </c>
      <c r="K107" s="164"/>
      <c r="L107" s="164">
        <f t="shared" si="23"/>
        <v>0</v>
      </c>
      <c r="M107" s="164"/>
      <c r="N107" s="164">
        <f t="shared" si="24"/>
        <v>0</v>
      </c>
      <c r="O107" s="164"/>
      <c r="P107" s="164">
        <f t="shared" si="25"/>
        <v>0</v>
      </c>
      <c r="Q107" s="164"/>
      <c r="R107" s="164">
        <f t="shared" si="26"/>
        <v>0</v>
      </c>
      <c r="S107" s="164"/>
      <c r="T107" s="164">
        <f t="shared" si="27"/>
        <v>0</v>
      </c>
    </row>
    <row r="108" spans="7:20" x14ac:dyDescent="0.3">
      <c r="G108" s="163">
        <v>4</v>
      </c>
      <c r="H108" s="164" t="s">
        <v>370</v>
      </c>
      <c r="I108" s="164" t="s">
        <v>371</v>
      </c>
      <c r="J108">
        <v>2</v>
      </c>
      <c r="K108" s="164"/>
      <c r="L108" s="164">
        <f t="shared" si="23"/>
        <v>0</v>
      </c>
      <c r="M108" s="164"/>
      <c r="N108" s="164">
        <f t="shared" si="24"/>
        <v>0</v>
      </c>
      <c r="O108" s="164"/>
      <c r="P108" s="164">
        <f t="shared" si="25"/>
        <v>0</v>
      </c>
      <c r="Q108" s="164"/>
      <c r="R108" s="164">
        <f t="shared" si="26"/>
        <v>0</v>
      </c>
      <c r="S108" s="164"/>
      <c r="T108" s="164">
        <f t="shared" si="27"/>
        <v>0</v>
      </c>
    </row>
    <row r="109" spans="7:20" x14ac:dyDescent="0.3">
      <c r="G109" s="163">
        <v>4</v>
      </c>
      <c r="H109" s="164" t="s">
        <v>372</v>
      </c>
      <c r="I109" s="164" t="s">
        <v>373</v>
      </c>
      <c r="J109">
        <v>2</v>
      </c>
      <c r="K109" s="164"/>
      <c r="L109" s="164">
        <f t="shared" si="23"/>
        <v>0</v>
      </c>
      <c r="M109" s="164"/>
      <c r="N109" s="164">
        <f t="shared" si="24"/>
        <v>0</v>
      </c>
      <c r="O109" s="164"/>
      <c r="P109" s="164">
        <f t="shared" si="25"/>
        <v>0</v>
      </c>
      <c r="Q109" s="164"/>
      <c r="R109" s="164">
        <f t="shared" si="26"/>
        <v>0</v>
      </c>
      <c r="S109" s="164"/>
      <c r="T109" s="164">
        <f t="shared" si="27"/>
        <v>0</v>
      </c>
    </row>
    <row r="110" spans="7:20" x14ac:dyDescent="0.3">
      <c r="G110" s="163">
        <v>4</v>
      </c>
      <c r="H110" s="164" t="s">
        <v>374</v>
      </c>
      <c r="I110" s="164" t="s">
        <v>375</v>
      </c>
      <c r="J110">
        <v>1</v>
      </c>
      <c r="K110" s="164"/>
      <c r="L110" s="164">
        <f t="shared" si="23"/>
        <v>0</v>
      </c>
      <c r="M110" s="164"/>
      <c r="N110" s="164">
        <f t="shared" si="24"/>
        <v>0</v>
      </c>
      <c r="O110" s="164"/>
      <c r="P110" s="164">
        <f t="shared" si="25"/>
        <v>0</v>
      </c>
      <c r="Q110" s="164"/>
      <c r="R110" s="164">
        <f t="shared" si="26"/>
        <v>0</v>
      </c>
      <c r="S110" s="164"/>
      <c r="T110" s="164">
        <f t="shared" si="27"/>
        <v>0</v>
      </c>
    </row>
    <row r="111" spans="7:20" x14ac:dyDescent="0.3">
      <c r="G111" s="163">
        <v>4</v>
      </c>
      <c r="H111" s="164" t="s">
        <v>376</v>
      </c>
      <c r="I111" s="164" t="s">
        <v>377</v>
      </c>
      <c r="J111">
        <v>1</v>
      </c>
      <c r="K111" s="164"/>
      <c r="L111" s="164">
        <f t="shared" si="23"/>
        <v>0</v>
      </c>
      <c r="M111" s="164"/>
      <c r="N111" s="164">
        <f t="shared" si="24"/>
        <v>0</v>
      </c>
      <c r="O111" s="164"/>
      <c r="P111" s="164">
        <f t="shared" si="25"/>
        <v>0</v>
      </c>
      <c r="Q111" s="164"/>
      <c r="R111" s="164">
        <f t="shared" si="26"/>
        <v>0</v>
      </c>
      <c r="S111" s="164"/>
      <c r="T111" s="164">
        <f t="shared" si="27"/>
        <v>0</v>
      </c>
    </row>
    <row r="112" spans="7:20" x14ac:dyDescent="0.3">
      <c r="G112" s="163">
        <v>4</v>
      </c>
      <c r="H112" s="164" t="s">
        <v>378</v>
      </c>
      <c r="I112" s="164" t="s">
        <v>379</v>
      </c>
      <c r="J112">
        <v>1</v>
      </c>
      <c r="K112" s="164"/>
      <c r="L112" s="164">
        <f t="shared" si="23"/>
        <v>0</v>
      </c>
      <c r="M112" s="164"/>
      <c r="N112" s="164">
        <f t="shared" si="24"/>
        <v>0</v>
      </c>
      <c r="O112" s="164"/>
      <c r="P112" s="164">
        <f t="shared" si="25"/>
        <v>0</v>
      </c>
      <c r="Q112" s="164"/>
      <c r="R112" s="164">
        <f t="shared" si="26"/>
        <v>0</v>
      </c>
      <c r="S112" s="164"/>
      <c r="T112" s="164">
        <f t="shared" si="27"/>
        <v>0</v>
      </c>
    </row>
    <row r="113" spans="7:20" x14ac:dyDescent="0.3">
      <c r="G113" s="163">
        <v>4</v>
      </c>
      <c r="H113" s="164" t="s">
        <v>380</v>
      </c>
      <c r="I113" s="164" t="s">
        <v>381</v>
      </c>
      <c r="J113">
        <v>2</v>
      </c>
      <c r="K113" s="164"/>
      <c r="L113" s="164">
        <f t="shared" si="23"/>
        <v>0</v>
      </c>
      <c r="M113" s="164"/>
      <c r="N113" s="164">
        <f t="shared" si="24"/>
        <v>0</v>
      </c>
      <c r="O113" s="164"/>
      <c r="P113" s="164">
        <f t="shared" si="25"/>
        <v>0</v>
      </c>
      <c r="Q113" s="164"/>
      <c r="R113" s="164">
        <f t="shared" si="26"/>
        <v>0</v>
      </c>
      <c r="S113" s="164"/>
      <c r="T113" s="164">
        <f t="shared" si="27"/>
        <v>0</v>
      </c>
    </row>
    <row r="114" spans="7:20" x14ac:dyDescent="0.3">
      <c r="G114" s="163">
        <v>4</v>
      </c>
      <c r="H114" s="164" t="s">
        <v>382</v>
      </c>
      <c r="I114" s="164" t="s">
        <v>383</v>
      </c>
      <c r="J114">
        <v>1</v>
      </c>
      <c r="K114" s="164"/>
      <c r="L114" s="164">
        <f t="shared" si="23"/>
        <v>0</v>
      </c>
      <c r="M114" s="164"/>
      <c r="N114" s="164">
        <f t="shared" si="24"/>
        <v>0</v>
      </c>
      <c r="O114" s="164"/>
      <c r="P114" s="164">
        <f t="shared" si="25"/>
        <v>0</v>
      </c>
      <c r="Q114" s="164"/>
      <c r="R114" s="164">
        <f t="shared" si="26"/>
        <v>0</v>
      </c>
      <c r="S114" s="164"/>
      <c r="T114" s="164">
        <f t="shared" si="27"/>
        <v>0</v>
      </c>
    </row>
    <row r="115" spans="7:20" x14ac:dyDescent="0.3">
      <c r="G115" s="163">
        <v>4</v>
      </c>
      <c r="H115" s="164" t="s">
        <v>384</v>
      </c>
      <c r="I115" s="164" t="s">
        <v>385</v>
      </c>
      <c r="J115">
        <v>2</v>
      </c>
      <c r="K115" s="164"/>
      <c r="L115" s="164">
        <f t="shared" si="23"/>
        <v>0</v>
      </c>
      <c r="M115" s="164"/>
      <c r="N115" s="164">
        <f t="shared" si="24"/>
        <v>0</v>
      </c>
      <c r="O115" s="164"/>
      <c r="P115" s="164">
        <f t="shared" si="25"/>
        <v>0</v>
      </c>
      <c r="Q115" s="164"/>
      <c r="R115" s="164">
        <f t="shared" si="26"/>
        <v>0</v>
      </c>
      <c r="S115" s="164"/>
      <c r="T115" s="164">
        <f t="shared" si="27"/>
        <v>0</v>
      </c>
    </row>
    <row r="116" spans="7:20" x14ac:dyDescent="0.3">
      <c r="G116" s="163">
        <v>4</v>
      </c>
      <c r="H116" s="164" t="s">
        <v>386</v>
      </c>
      <c r="I116" s="164" t="s">
        <v>387</v>
      </c>
      <c r="J116">
        <v>2</v>
      </c>
      <c r="K116" s="164"/>
      <c r="L116" s="164">
        <f>J116*K116</f>
        <v>0</v>
      </c>
      <c r="M116" s="164"/>
      <c r="N116" s="164">
        <f>J116*M116</f>
        <v>0</v>
      </c>
      <c r="O116" s="164"/>
      <c r="P116" s="164">
        <f>J116*O116</f>
        <v>0</v>
      </c>
      <c r="Q116" s="164"/>
      <c r="R116" s="164">
        <f>J116*Q116</f>
        <v>0</v>
      </c>
      <c r="S116" s="164"/>
      <c r="T116" s="164">
        <f>J116*S116</f>
        <v>0</v>
      </c>
    </row>
    <row r="117" spans="7:20" x14ac:dyDescent="0.3">
      <c r="G117" s="163">
        <v>4</v>
      </c>
      <c r="H117" s="164" t="s">
        <v>388</v>
      </c>
      <c r="I117" s="164" t="s">
        <v>389</v>
      </c>
      <c r="J117">
        <v>1</v>
      </c>
      <c r="K117" s="164"/>
      <c r="L117" s="164">
        <f>J117*K117</f>
        <v>0</v>
      </c>
      <c r="M117" s="164"/>
      <c r="N117" s="164">
        <f>J117*M117</f>
        <v>0</v>
      </c>
      <c r="O117" s="164"/>
      <c r="P117" s="164">
        <f>J117*O117</f>
        <v>0</v>
      </c>
      <c r="Q117" s="164"/>
      <c r="R117" s="164">
        <f>J117*Q117</f>
        <v>0</v>
      </c>
      <c r="S117" s="164"/>
      <c r="T117" s="164">
        <f>J117*S117</f>
        <v>0</v>
      </c>
    </row>
    <row r="118" spans="7:20" x14ac:dyDescent="0.3">
      <c r="G118" s="163">
        <v>4</v>
      </c>
      <c r="H118" s="164" t="s">
        <v>390</v>
      </c>
      <c r="I118" s="164" t="s">
        <v>391</v>
      </c>
      <c r="J118">
        <v>2</v>
      </c>
      <c r="K118" s="164"/>
      <c r="L118" s="164">
        <f>J118*K118</f>
        <v>0</v>
      </c>
      <c r="M118" s="164"/>
      <c r="N118" s="164">
        <f>J118*M118</f>
        <v>0</v>
      </c>
      <c r="O118" s="164"/>
      <c r="P118" s="164">
        <f>J118*O118</f>
        <v>0</v>
      </c>
      <c r="Q118" s="164"/>
      <c r="R118" s="164">
        <f>J118*Q118</f>
        <v>0</v>
      </c>
      <c r="S118" s="164"/>
      <c r="T118" s="164">
        <f>J118*S118</f>
        <v>0</v>
      </c>
    </row>
    <row r="119" spans="7:20" x14ac:dyDescent="0.3">
      <c r="G119" s="163">
        <v>4</v>
      </c>
      <c r="H119" s="164" t="s">
        <v>392</v>
      </c>
      <c r="I119" s="164" t="s">
        <v>393</v>
      </c>
      <c r="J119">
        <v>2</v>
      </c>
      <c r="K119" s="164"/>
      <c r="L119" s="164">
        <f>J119*K119</f>
        <v>0</v>
      </c>
      <c r="M119" s="164"/>
      <c r="N119" s="164">
        <f>J119*M119</f>
        <v>0</v>
      </c>
      <c r="O119" s="164"/>
      <c r="P119" s="164">
        <f>J119*O119</f>
        <v>0</v>
      </c>
      <c r="Q119" s="164"/>
      <c r="R119" s="164">
        <f>J119*Q119</f>
        <v>0</v>
      </c>
      <c r="S119" s="164"/>
      <c r="T119" s="164">
        <f>J119*S119</f>
        <v>0</v>
      </c>
    </row>
    <row r="120" spans="7:20" x14ac:dyDescent="0.3">
      <c r="G120" s="163">
        <v>4</v>
      </c>
      <c r="H120" s="164" t="s">
        <v>394</v>
      </c>
      <c r="I120" s="164" t="s">
        <v>395</v>
      </c>
      <c r="J120" s="163">
        <v>2</v>
      </c>
      <c r="K120" s="164"/>
      <c r="L120" s="164">
        <f>J120*K120</f>
        <v>0</v>
      </c>
      <c r="M120" s="164"/>
      <c r="N120" s="164">
        <f>J120*M120</f>
        <v>0</v>
      </c>
      <c r="O120" s="164"/>
      <c r="P120" s="164">
        <f>J120*O120</f>
        <v>0</v>
      </c>
      <c r="Q120" s="164"/>
      <c r="R120" s="164">
        <f>J120*Q120</f>
        <v>0</v>
      </c>
      <c r="S120" s="164"/>
      <c r="T120" s="164">
        <f>J120*S120</f>
        <v>0</v>
      </c>
    </row>
    <row r="121" spans="7:20" x14ac:dyDescent="0.3">
      <c r="G121" s="163">
        <v>4</v>
      </c>
      <c r="H121" s="164" t="s">
        <v>396</v>
      </c>
      <c r="I121" s="164" t="s">
        <v>397</v>
      </c>
      <c r="J121">
        <v>1</v>
      </c>
      <c r="K121" s="164"/>
      <c r="L121" s="164">
        <f t="shared" si="23"/>
        <v>0</v>
      </c>
      <c r="M121" s="164"/>
      <c r="N121" s="164">
        <f t="shared" si="24"/>
        <v>0</v>
      </c>
      <c r="O121" s="164"/>
      <c r="P121" s="164">
        <f t="shared" si="25"/>
        <v>0</v>
      </c>
      <c r="Q121" s="164"/>
      <c r="R121" s="164">
        <f t="shared" si="26"/>
        <v>0</v>
      </c>
      <c r="S121" s="164"/>
      <c r="T121" s="164">
        <f t="shared" si="27"/>
        <v>0</v>
      </c>
    </row>
    <row r="122" spans="7:20" x14ac:dyDescent="0.3">
      <c r="G122" s="163">
        <v>4</v>
      </c>
      <c r="H122" s="164" t="s">
        <v>398</v>
      </c>
      <c r="I122" s="164" t="s">
        <v>399</v>
      </c>
      <c r="J122">
        <v>1</v>
      </c>
      <c r="K122" s="164"/>
      <c r="L122" s="164">
        <f t="shared" si="23"/>
        <v>0</v>
      </c>
      <c r="M122" s="164"/>
      <c r="N122" s="164">
        <f t="shared" si="24"/>
        <v>0</v>
      </c>
      <c r="O122" s="164"/>
      <c r="P122" s="164">
        <f t="shared" si="25"/>
        <v>0</v>
      </c>
      <c r="Q122" s="164"/>
      <c r="R122" s="164">
        <f t="shared" si="26"/>
        <v>0</v>
      </c>
      <c r="S122" s="164"/>
      <c r="T122" s="164">
        <f t="shared" si="27"/>
        <v>0</v>
      </c>
    </row>
    <row r="123" spans="7:20" x14ac:dyDescent="0.3">
      <c r="G123" s="163">
        <v>4</v>
      </c>
      <c r="H123" s="164" t="s">
        <v>400</v>
      </c>
      <c r="I123" s="164" t="s">
        <v>401</v>
      </c>
      <c r="J123">
        <v>4</v>
      </c>
      <c r="K123" s="164"/>
      <c r="L123" s="164">
        <f t="shared" si="23"/>
        <v>0</v>
      </c>
      <c r="M123" s="164"/>
      <c r="N123" s="164">
        <f t="shared" si="24"/>
        <v>0</v>
      </c>
      <c r="O123" s="164"/>
      <c r="P123" s="164">
        <f t="shared" si="25"/>
        <v>0</v>
      </c>
      <c r="Q123" s="164"/>
      <c r="R123" s="164">
        <f t="shared" si="26"/>
        <v>0</v>
      </c>
      <c r="S123" s="164"/>
      <c r="T123" s="164">
        <f t="shared" si="27"/>
        <v>0</v>
      </c>
    </row>
    <row r="124" spans="7:20" x14ac:dyDescent="0.3">
      <c r="G124" s="163">
        <v>4</v>
      </c>
      <c r="H124" s="164" t="s">
        <v>402</v>
      </c>
      <c r="I124" s="164" t="s">
        <v>403</v>
      </c>
      <c r="J124">
        <v>1</v>
      </c>
      <c r="K124" s="164"/>
      <c r="L124" s="164">
        <f t="shared" si="23"/>
        <v>0</v>
      </c>
      <c r="M124" s="164"/>
      <c r="N124" s="164">
        <f t="shared" si="24"/>
        <v>0</v>
      </c>
      <c r="O124" s="164"/>
      <c r="P124" s="164">
        <f t="shared" si="25"/>
        <v>0</v>
      </c>
      <c r="Q124" s="164"/>
      <c r="R124" s="164">
        <f t="shared" si="26"/>
        <v>0</v>
      </c>
      <c r="S124" s="164"/>
      <c r="T124" s="164">
        <f t="shared" si="27"/>
        <v>0</v>
      </c>
    </row>
    <row r="125" spans="7:20" x14ac:dyDescent="0.3">
      <c r="G125" s="163">
        <v>4</v>
      </c>
      <c r="H125" s="164" t="s">
        <v>404</v>
      </c>
      <c r="I125" s="164" t="s">
        <v>405</v>
      </c>
      <c r="J125">
        <v>1</v>
      </c>
      <c r="K125" s="164"/>
      <c r="L125" s="164">
        <f t="shared" si="23"/>
        <v>0</v>
      </c>
      <c r="M125" s="164"/>
      <c r="N125" s="164">
        <f t="shared" si="24"/>
        <v>0</v>
      </c>
      <c r="O125" s="164"/>
      <c r="P125" s="164">
        <f t="shared" si="25"/>
        <v>0</v>
      </c>
      <c r="Q125" s="164"/>
      <c r="R125" s="164">
        <f t="shared" si="26"/>
        <v>0</v>
      </c>
      <c r="S125" s="164"/>
      <c r="T125" s="164">
        <f t="shared" si="27"/>
        <v>0</v>
      </c>
    </row>
    <row r="126" spans="7:20" x14ac:dyDescent="0.3">
      <c r="G126" s="163">
        <v>4</v>
      </c>
      <c r="H126" s="164" t="s">
        <v>406</v>
      </c>
      <c r="I126" s="164" t="s">
        <v>407</v>
      </c>
      <c r="J126" s="201">
        <v>1</v>
      </c>
      <c r="K126" s="164"/>
      <c r="L126" s="164">
        <f t="shared" si="23"/>
        <v>0</v>
      </c>
      <c r="M126" s="164"/>
      <c r="N126" s="164">
        <f t="shared" si="24"/>
        <v>0</v>
      </c>
      <c r="O126" s="164"/>
      <c r="P126" s="164">
        <f t="shared" si="25"/>
        <v>0</v>
      </c>
      <c r="Q126" s="164"/>
      <c r="R126" s="164">
        <f t="shared" si="26"/>
        <v>0</v>
      </c>
      <c r="S126" s="164"/>
      <c r="T126" s="164">
        <f t="shared" si="27"/>
        <v>0</v>
      </c>
    </row>
    <row r="127" spans="7:20" x14ac:dyDescent="0.3">
      <c r="G127" s="163">
        <v>4</v>
      </c>
      <c r="H127" s="164" t="s">
        <v>408</v>
      </c>
      <c r="I127" s="164" t="s">
        <v>409</v>
      </c>
      <c r="J127">
        <v>1</v>
      </c>
      <c r="K127" s="164"/>
      <c r="L127" s="164">
        <f t="shared" si="23"/>
        <v>0</v>
      </c>
      <c r="M127" s="164"/>
      <c r="N127" s="164">
        <f t="shared" si="24"/>
        <v>0</v>
      </c>
      <c r="O127" s="164"/>
      <c r="P127" s="164">
        <f t="shared" si="25"/>
        <v>0</v>
      </c>
      <c r="Q127" s="164"/>
      <c r="R127" s="164">
        <f t="shared" si="26"/>
        <v>0</v>
      </c>
      <c r="S127" s="164"/>
      <c r="T127" s="164">
        <f t="shared" si="27"/>
        <v>0</v>
      </c>
    </row>
    <row r="128" spans="7:20" x14ac:dyDescent="0.3">
      <c r="G128" s="163">
        <v>4</v>
      </c>
      <c r="H128" s="164" t="s">
        <v>410</v>
      </c>
      <c r="I128" s="164" t="s">
        <v>411</v>
      </c>
      <c r="J128">
        <v>1</v>
      </c>
      <c r="K128" s="164"/>
      <c r="L128" s="164">
        <f t="shared" si="23"/>
        <v>0</v>
      </c>
      <c r="M128" s="164"/>
      <c r="N128" s="164">
        <f t="shared" si="24"/>
        <v>0</v>
      </c>
      <c r="O128" s="164"/>
      <c r="P128" s="164">
        <f t="shared" si="25"/>
        <v>0</v>
      </c>
      <c r="Q128" s="164"/>
      <c r="R128" s="164">
        <f t="shared" si="26"/>
        <v>0</v>
      </c>
      <c r="S128" s="164"/>
      <c r="T128" s="164">
        <f t="shared" si="27"/>
        <v>0</v>
      </c>
    </row>
    <row r="129" spans="7:20" x14ac:dyDescent="0.3">
      <c r="G129" s="163">
        <v>4</v>
      </c>
      <c r="H129" s="164" t="s">
        <v>412</v>
      </c>
      <c r="I129" s="164" t="s">
        <v>413</v>
      </c>
      <c r="J129">
        <v>2</v>
      </c>
      <c r="K129" s="164"/>
      <c r="L129" s="164">
        <f t="shared" si="23"/>
        <v>0</v>
      </c>
      <c r="M129" s="164"/>
      <c r="N129" s="164">
        <f t="shared" si="24"/>
        <v>0</v>
      </c>
      <c r="O129" s="164"/>
      <c r="P129" s="164">
        <f t="shared" si="25"/>
        <v>0</v>
      </c>
      <c r="Q129" s="164"/>
      <c r="R129" s="164">
        <f t="shared" si="26"/>
        <v>0</v>
      </c>
      <c r="S129" s="164"/>
      <c r="T129" s="164">
        <f t="shared" si="27"/>
        <v>0</v>
      </c>
    </row>
    <row r="130" spans="7:20" x14ac:dyDescent="0.3">
      <c r="G130" s="163">
        <v>4</v>
      </c>
      <c r="H130" s="164" t="s">
        <v>414</v>
      </c>
      <c r="I130" s="164" t="s">
        <v>415</v>
      </c>
      <c r="J130">
        <v>2</v>
      </c>
      <c r="K130" s="164"/>
      <c r="L130" s="164">
        <f t="shared" si="23"/>
        <v>0</v>
      </c>
      <c r="M130" s="164"/>
      <c r="N130" s="164">
        <f t="shared" si="24"/>
        <v>0</v>
      </c>
      <c r="O130" s="164"/>
      <c r="P130" s="164">
        <f t="shared" si="25"/>
        <v>0</v>
      </c>
      <c r="Q130" s="164"/>
      <c r="R130" s="164">
        <f t="shared" si="26"/>
        <v>0</v>
      </c>
      <c r="S130" s="164"/>
      <c r="T130" s="164">
        <f t="shared" si="27"/>
        <v>0</v>
      </c>
    </row>
    <row r="131" spans="7:20" x14ac:dyDescent="0.3">
      <c r="G131" s="163">
        <v>4</v>
      </c>
      <c r="H131" s="164" t="s">
        <v>416</v>
      </c>
      <c r="I131" s="164" t="s">
        <v>417</v>
      </c>
      <c r="J131">
        <v>1</v>
      </c>
      <c r="K131" s="164"/>
      <c r="L131" s="164">
        <f t="shared" si="23"/>
        <v>0</v>
      </c>
      <c r="M131" s="164"/>
      <c r="N131" s="164">
        <f t="shared" si="24"/>
        <v>0</v>
      </c>
      <c r="O131" s="164"/>
      <c r="P131" s="164">
        <f t="shared" si="25"/>
        <v>0</v>
      </c>
      <c r="Q131" s="164"/>
      <c r="R131" s="164">
        <f t="shared" si="26"/>
        <v>0</v>
      </c>
      <c r="S131" s="164"/>
      <c r="T131" s="164">
        <f t="shared" si="27"/>
        <v>0</v>
      </c>
    </row>
    <row r="132" spans="7:20" x14ac:dyDescent="0.3">
      <c r="G132" s="163">
        <v>4</v>
      </c>
      <c r="H132" s="164" t="s">
        <v>418</v>
      </c>
      <c r="I132" s="164" t="s">
        <v>419</v>
      </c>
      <c r="J132">
        <v>1</v>
      </c>
      <c r="K132" s="164"/>
      <c r="L132" s="164">
        <f t="shared" si="23"/>
        <v>0</v>
      </c>
      <c r="M132" s="164"/>
      <c r="N132" s="164">
        <f t="shared" si="24"/>
        <v>0</v>
      </c>
      <c r="O132" s="164"/>
      <c r="P132" s="164">
        <f t="shared" si="25"/>
        <v>0</v>
      </c>
      <c r="Q132" s="164"/>
      <c r="R132" s="164">
        <f t="shared" si="26"/>
        <v>0</v>
      </c>
      <c r="S132" s="164"/>
      <c r="T132" s="164">
        <f t="shared" si="27"/>
        <v>0</v>
      </c>
    </row>
    <row r="133" spans="7:20" x14ac:dyDescent="0.3">
      <c r="G133" s="163">
        <v>4</v>
      </c>
      <c r="H133" s="164" t="s">
        <v>420</v>
      </c>
      <c r="I133" s="164" t="s">
        <v>421</v>
      </c>
      <c r="J133">
        <v>1</v>
      </c>
      <c r="K133" s="164"/>
      <c r="L133" s="164">
        <f t="shared" si="23"/>
        <v>0</v>
      </c>
      <c r="M133" s="164"/>
      <c r="N133" s="164">
        <f t="shared" si="24"/>
        <v>0</v>
      </c>
      <c r="O133" s="164"/>
      <c r="P133" s="164">
        <f t="shared" si="25"/>
        <v>0</v>
      </c>
      <c r="Q133" s="164"/>
      <c r="R133" s="164">
        <f t="shared" si="26"/>
        <v>0</v>
      </c>
      <c r="S133" s="164"/>
      <c r="T133" s="164">
        <f t="shared" si="27"/>
        <v>0</v>
      </c>
    </row>
    <row r="134" spans="7:20" x14ac:dyDescent="0.3">
      <c r="G134" s="163">
        <v>4</v>
      </c>
      <c r="H134" s="164" t="s">
        <v>422</v>
      </c>
      <c r="I134" s="164" t="s">
        <v>423</v>
      </c>
      <c r="J134">
        <v>1</v>
      </c>
      <c r="K134" s="164"/>
      <c r="L134" s="164">
        <f t="shared" si="23"/>
        <v>0</v>
      </c>
      <c r="M134" s="164"/>
      <c r="N134" s="164">
        <f t="shared" si="24"/>
        <v>0</v>
      </c>
      <c r="O134" s="164"/>
      <c r="P134" s="164">
        <f t="shared" si="25"/>
        <v>0</v>
      </c>
      <c r="Q134" s="164"/>
      <c r="R134" s="164">
        <f t="shared" si="26"/>
        <v>0</v>
      </c>
      <c r="S134" s="164"/>
      <c r="T134" s="164">
        <f t="shared" si="27"/>
        <v>0</v>
      </c>
    </row>
    <row r="135" spans="7:20" x14ac:dyDescent="0.3">
      <c r="G135" s="163">
        <v>4</v>
      </c>
      <c r="H135" s="164" t="s">
        <v>424</v>
      </c>
      <c r="I135" s="164" t="s">
        <v>425</v>
      </c>
      <c r="J135">
        <v>1</v>
      </c>
      <c r="K135" s="164"/>
      <c r="L135" s="164">
        <f t="shared" si="23"/>
        <v>0</v>
      </c>
      <c r="M135" s="164"/>
      <c r="N135" s="164">
        <f t="shared" si="24"/>
        <v>0</v>
      </c>
      <c r="O135" s="164"/>
      <c r="P135" s="164">
        <f t="shared" si="25"/>
        <v>0</v>
      </c>
      <c r="Q135" s="164"/>
      <c r="R135" s="164">
        <f t="shared" si="26"/>
        <v>0</v>
      </c>
      <c r="S135" s="164"/>
      <c r="T135" s="164">
        <f t="shared" si="27"/>
        <v>0</v>
      </c>
    </row>
    <row r="136" spans="7:20" x14ac:dyDescent="0.3">
      <c r="G136" s="163">
        <v>4</v>
      </c>
      <c r="H136" s="164" t="s">
        <v>426</v>
      </c>
      <c r="I136" s="164" t="s">
        <v>427</v>
      </c>
      <c r="J136">
        <v>2</v>
      </c>
      <c r="K136" s="164"/>
      <c r="L136" s="164">
        <f t="shared" si="23"/>
        <v>0</v>
      </c>
      <c r="M136" s="164"/>
      <c r="N136" s="164">
        <f t="shared" si="24"/>
        <v>0</v>
      </c>
      <c r="O136" s="164"/>
      <c r="P136" s="164">
        <f t="shared" si="25"/>
        <v>0</v>
      </c>
      <c r="Q136" s="164"/>
      <c r="R136" s="164">
        <f t="shared" si="26"/>
        <v>0</v>
      </c>
      <c r="S136" s="164"/>
      <c r="T136" s="164">
        <f t="shared" si="27"/>
        <v>0</v>
      </c>
    </row>
    <row r="137" spans="7:20" x14ac:dyDescent="0.3">
      <c r="G137" s="163">
        <v>4</v>
      </c>
      <c r="H137" s="164" t="s">
        <v>428</v>
      </c>
      <c r="I137" s="164" t="s">
        <v>429</v>
      </c>
      <c r="J137">
        <v>1</v>
      </c>
      <c r="K137" s="164"/>
      <c r="L137" s="164">
        <f t="shared" si="23"/>
        <v>0</v>
      </c>
      <c r="M137" s="164"/>
      <c r="N137" s="164">
        <f t="shared" si="24"/>
        <v>0</v>
      </c>
      <c r="O137" s="164"/>
      <c r="P137" s="164">
        <f t="shared" si="25"/>
        <v>0</v>
      </c>
      <c r="Q137" s="164"/>
      <c r="R137" s="164">
        <f t="shared" si="26"/>
        <v>0</v>
      </c>
      <c r="S137" s="164"/>
      <c r="T137" s="164">
        <f t="shared" si="27"/>
        <v>0</v>
      </c>
    </row>
    <row r="138" spans="7:20" x14ac:dyDescent="0.3">
      <c r="G138" s="163">
        <v>4</v>
      </c>
      <c r="H138" s="164" t="s">
        <v>430</v>
      </c>
      <c r="I138" s="164" t="s">
        <v>431</v>
      </c>
      <c r="J138">
        <v>1</v>
      </c>
      <c r="K138" s="164"/>
      <c r="L138" s="164">
        <f t="shared" si="23"/>
        <v>0</v>
      </c>
      <c r="M138" s="164"/>
      <c r="N138" s="164">
        <f t="shared" si="24"/>
        <v>0</v>
      </c>
      <c r="O138" s="164"/>
      <c r="P138" s="164">
        <f t="shared" si="25"/>
        <v>0</v>
      </c>
      <c r="Q138" s="164"/>
      <c r="R138" s="164">
        <f t="shared" si="26"/>
        <v>0</v>
      </c>
      <c r="S138" s="164"/>
      <c r="T138" s="164">
        <f t="shared" si="27"/>
        <v>0</v>
      </c>
    </row>
    <row r="139" spans="7:20" x14ac:dyDescent="0.3">
      <c r="G139" s="163">
        <v>4</v>
      </c>
      <c r="H139" s="164" t="s">
        <v>432</v>
      </c>
      <c r="I139" s="164" t="s">
        <v>433</v>
      </c>
      <c r="J139">
        <v>1</v>
      </c>
      <c r="K139" s="164"/>
      <c r="L139" s="164">
        <f t="shared" si="23"/>
        <v>0</v>
      </c>
      <c r="M139" s="164"/>
      <c r="N139" s="164">
        <f t="shared" si="24"/>
        <v>0</v>
      </c>
      <c r="O139" s="164"/>
      <c r="P139" s="164">
        <f t="shared" si="25"/>
        <v>0</v>
      </c>
      <c r="Q139" s="164"/>
      <c r="R139" s="164">
        <f t="shared" si="26"/>
        <v>0</v>
      </c>
      <c r="S139" s="164"/>
      <c r="T139" s="164">
        <f t="shared" si="27"/>
        <v>0</v>
      </c>
    </row>
    <row r="140" spans="7:20" x14ac:dyDescent="0.3">
      <c r="G140" s="163">
        <v>4</v>
      </c>
      <c r="H140" s="164" t="s">
        <v>434</v>
      </c>
      <c r="I140" s="164" t="s">
        <v>435</v>
      </c>
      <c r="J140">
        <v>1</v>
      </c>
      <c r="K140" s="164"/>
      <c r="L140" s="164">
        <f t="shared" si="23"/>
        <v>0</v>
      </c>
      <c r="M140" s="164"/>
      <c r="N140" s="164">
        <f t="shared" si="24"/>
        <v>0</v>
      </c>
      <c r="O140" s="164"/>
      <c r="P140" s="164">
        <f t="shared" si="25"/>
        <v>0</v>
      </c>
      <c r="Q140" s="164"/>
      <c r="R140" s="164">
        <f t="shared" si="26"/>
        <v>0</v>
      </c>
      <c r="S140" s="164"/>
      <c r="T140" s="164">
        <f t="shared" si="27"/>
        <v>0</v>
      </c>
    </row>
    <row r="141" spans="7:20" x14ac:dyDescent="0.3">
      <c r="G141" s="163">
        <v>4</v>
      </c>
      <c r="H141" s="164" t="s">
        <v>436</v>
      </c>
      <c r="I141" s="164" t="s">
        <v>437</v>
      </c>
      <c r="J141">
        <v>1</v>
      </c>
      <c r="K141" s="164"/>
      <c r="L141" s="164">
        <f t="shared" si="23"/>
        <v>0</v>
      </c>
      <c r="M141" s="164"/>
      <c r="N141" s="164">
        <f t="shared" si="24"/>
        <v>0</v>
      </c>
      <c r="O141" s="164"/>
      <c r="P141" s="164">
        <f t="shared" si="25"/>
        <v>0</v>
      </c>
      <c r="Q141" s="164"/>
      <c r="R141" s="164">
        <f t="shared" si="26"/>
        <v>0</v>
      </c>
      <c r="S141" s="164"/>
      <c r="T141" s="164">
        <f t="shared" si="27"/>
        <v>0</v>
      </c>
    </row>
    <row r="142" spans="7:20" x14ac:dyDescent="0.3">
      <c r="G142" s="163">
        <v>4</v>
      </c>
      <c r="H142" s="164" t="s">
        <v>438</v>
      </c>
      <c r="I142" s="164" t="s">
        <v>439</v>
      </c>
      <c r="J142">
        <v>1</v>
      </c>
      <c r="K142" s="164"/>
      <c r="L142" s="164">
        <f t="shared" si="23"/>
        <v>0</v>
      </c>
      <c r="M142" s="164"/>
      <c r="N142" s="164">
        <f t="shared" si="24"/>
        <v>0</v>
      </c>
      <c r="O142" s="164"/>
      <c r="P142" s="164">
        <f t="shared" si="25"/>
        <v>0</v>
      </c>
      <c r="Q142" s="164"/>
      <c r="R142" s="164">
        <f t="shared" si="26"/>
        <v>0</v>
      </c>
      <c r="S142" s="164"/>
      <c r="T142" s="164">
        <f t="shared" si="27"/>
        <v>0</v>
      </c>
    </row>
    <row r="143" spans="7:20" x14ac:dyDescent="0.3">
      <c r="G143" s="163">
        <v>4</v>
      </c>
      <c r="H143" s="164" t="s">
        <v>440</v>
      </c>
      <c r="I143" s="164" t="s">
        <v>441</v>
      </c>
      <c r="J143">
        <v>1</v>
      </c>
      <c r="K143" s="164"/>
      <c r="L143" s="164">
        <f t="shared" si="23"/>
        <v>0</v>
      </c>
      <c r="M143" s="164"/>
      <c r="N143" s="164">
        <f t="shared" si="24"/>
        <v>0</v>
      </c>
      <c r="O143" s="164"/>
      <c r="P143" s="164">
        <f t="shared" si="25"/>
        <v>0</v>
      </c>
      <c r="Q143" s="164"/>
      <c r="R143" s="164">
        <f t="shared" si="26"/>
        <v>0</v>
      </c>
      <c r="S143" s="164"/>
      <c r="T143" s="164">
        <f t="shared" si="27"/>
        <v>0</v>
      </c>
    </row>
    <row r="144" spans="7:20" x14ac:dyDescent="0.3">
      <c r="G144" s="163">
        <v>4</v>
      </c>
      <c r="H144" s="164" t="s">
        <v>442</v>
      </c>
      <c r="I144" s="164" t="s">
        <v>443</v>
      </c>
      <c r="J144">
        <v>3</v>
      </c>
      <c r="K144" s="164"/>
      <c r="L144" s="164">
        <f t="shared" si="23"/>
        <v>0</v>
      </c>
      <c r="M144" s="164"/>
      <c r="N144" s="164">
        <f t="shared" si="24"/>
        <v>0</v>
      </c>
      <c r="O144" s="164"/>
      <c r="P144" s="164">
        <f t="shared" si="25"/>
        <v>0</v>
      </c>
      <c r="Q144" s="164"/>
      <c r="R144" s="164">
        <f t="shared" si="26"/>
        <v>0</v>
      </c>
      <c r="S144" s="164"/>
      <c r="T144" s="164">
        <f t="shared" si="27"/>
        <v>0</v>
      </c>
    </row>
    <row r="145" spans="7:20" x14ac:dyDescent="0.3">
      <c r="G145" s="163">
        <v>4</v>
      </c>
      <c r="H145" s="164" t="s">
        <v>444</v>
      </c>
      <c r="I145" s="164" t="s">
        <v>445</v>
      </c>
      <c r="J145">
        <v>1</v>
      </c>
      <c r="K145" s="164"/>
      <c r="L145" s="164">
        <f t="shared" si="23"/>
        <v>0</v>
      </c>
      <c r="M145" s="164"/>
      <c r="N145" s="164">
        <f t="shared" si="24"/>
        <v>0</v>
      </c>
      <c r="O145" s="164"/>
      <c r="P145" s="164">
        <f t="shared" si="25"/>
        <v>0</v>
      </c>
      <c r="Q145" s="164"/>
      <c r="R145" s="164">
        <f t="shared" si="26"/>
        <v>0</v>
      </c>
      <c r="S145" s="164"/>
      <c r="T145" s="164">
        <f t="shared" si="27"/>
        <v>0</v>
      </c>
    </row>
    <row r="146" spans="7:20" x14ac:dyDescent="0.3">
      <c r="G146" s="163">
        <v>4</v>
      </c>
      <c r="H146" s="164" t="s">
        <v>446</v>
      </c>
      <c r="I146" s="164" t="s">
        <v>447</v>
      </c>
      <c r="J146">
        <v>1</v>
      </c>
      <c r="K146" s="164"/>
      <c r="L146" s="164">
        <f t="shared" si="23"/>
        <v>0</v>
      </c>
      <c r="M146" s="164"/>
      <c r="N146" s="164">
        <f t="shared" si="24"/>
        <v>0</v>
      </c>
      <c r="O146" s="164"/>
      <c r="P146" s="164">
        <f t="shared" si="25"/>
        <v>0</v>
      </c>
      <c r="Q146" s="164"/>
      <c r="R146" s="164">
        <f t="shared" si="26"/>
        <v>0</v>
      </c>
      <c r="S146" s="164"/>
      <c r="T146" s="164">
        <f t="shared" si="27"/>
        <v>0</v>
      </c>
    </row>
    <row r="147" spans="7:20" x14ac:dyDescent="0.3">
      <c r="G147" s="163">
        <v>4</v>
      </c>
      <c r="H147" s="164" t="s">
        <v>448</v>
      </c>
      <c r="I147" s="164" t="s">
        <v>449</v>
      </c>
      <c r="J147">
        <v>1</v>
      </c>
      <c r="K147" s="164"/>
      <c r="L147" s="164">
        <f t="shared" si="23"/>
        <v>0</v>
      </c>
      <c r="M147" s="164"/>
      <c r="N147" s="164">
        <f t="shared" si="24"/>
        <v>0</v>
      </c>
      <c r="O147" s="164"/>
      <c r="P147" s="164">
        <f t="shared" si="25"/>
        <v>0</v>
      </c>
      <c r="Q147" s="164"/>
      <c r="R147" s="164">
        <f t="shared" si="26"/>
        <v>0</v>
      </c>
      <c r="S147" s="164"/>
      <c r="T147" s="164">
        <f t="shared" si="27"/>
        <v>0</v>
      </c>
    </row>
    <row r="148" spans="7:20" x14ac:dyDescent="0.3">
      <c r="G148" s="163">
        <v>4</v>
      </c>
      <c r="H148" s="164" t="s">
        <v>450</v>
      </c>
      <c r="I148" s="164" t="s">
        <v>451</v>
      </c>
      <c r="J148">
        <v>1</v>
      </c>
      <c r="K148" s="164"/>
      <c r="L148" s="164">
        <f t="shared" si="23"/>
        <v>0</v>
      </c>
      <c r="M148" s="164"/>
      <c r="N148" s="164">
        <f t="shared" si="24"/>
        <v>0</v>
      </c>
      <c r="O148" s="164"/>
      <c r="P148" s="164">
        <f t="shared" si="25"/>
        <v>0</v>
      </c>
      <c r="Q148" s="164"/>
      <c r="R148" s="164">
        <f t="shared" si="26"/>
        <v>0</v>
      </c>
      <c r="S148" s="164"/>
      <c r="T148" s="164">
        <f t="shared" si="27"/>
        <v>0</v>
      </c>
    </row>
    <row r="149" spans="7:20" x14ac:dyDescent="0.3">
      <c r="G149" s="163">
        <v>4</v>
      </c>
      <c r="H149" s="164" t="s">
        <v>452</v>
      </c>
      <c r="I149" s="164" t="s">
        <v>453</v>
      </c>
      <c r="J149">
        <v>1</v>
      </c>
      <c r="K149" s="164"/>
      <c r="L149" s="164">
        <f t="shared" si="23"/>
        <v>0</v>
      </c>
      <c r="M149" s="164"/>
      <c r="N149" s="164">
        <f t="shared" si="24"/>
        <v>0</v>
      </c>
      <c r="O149" s="164"/>
      <c r="P149" s="164">
        <f t="shared" si="25"/>
        <v>0</v>
      </c>
      <c r="Q149" s="164"/>
      <c r="R149" s="164">
        <f t="shared" si="26"/>
        <v>0</v>
      </c>
      <c r="S149" s="164"/>
      <c r="T149" s="164">
        <f t="shared" si="27"/>
        <v>0</v>
      </c>
    </row>
    <row r="150" spans="7:20" x14ac:dyDescent="0.3">
      <c r="G150" s="163">
        <v>4</v>
      </c>
      <c r="H150" s="164" t="s">
        <v>454</v>
      </c>
      <c r="I150" s="164" t="s">
        <v>455</v>
      </c>
      <c r="J150">
        <v>1</v>
      </c>
      <c r="K150" s="164"/>
      <c r="L150" s="164">
        <f t="shared" si="23"/>
        <v>0</v>
      </c>
      <c r="M150" s="164"/>
      <c r="N150" s="164">
        <f t="shared" si="24"/>
        <v>0</v>
      </c>
      <c r="O150" s="164"/>
      <c r="P150" s="164">
        <f t="shared" si="25"/>
        <v>0</v>
      </c>
      <c r="Q150" s="164"/>
      <c r="R150" s="164">
        <f t="shared" si="26"/>
        <v>0</v>
      </c>
      <c r="S150" s="164"/>
      <c r="T150" s="164">
        <f t="shared" si="27"/>
        <v>0</v>
      </c>
    </row>
    <row r="151" spans="7:20" x14ac:dyDescent="0.3">
      <c r="G151" s="163">
        <v>4</v>
      </c>
      <c r="H151" s="164" t="s">
        <v>456</v>
      </c>
      <c r="I151" s="164" t="s">
        <v>457</v>
      </c>
      <c r="J151">
        <v>1</v>
      </c>
      <c r="K151" s="164"/>
      <c r="L151" s="164">
        <f t="shared" si="23"/>
        <v>0</v>
      </c>
      <c r="M151" s="164"/>
      <c r="N151" s="164">
        <f t="shared" si="24"/>
        <v>0</v>
      </c>
      <c r="O151" s="164"/>
      <c r="P151" s="164">
        <f t="shared" si="25"/>
        <v>0</v>
      </c>
      <c r="Q151" s="164"/>
      <c r="R151" s="164">
        <f t="shared" si="26"/>
        <v>0</v>
      </c>
      <c r="S151" s="164"/>
      <c r="T151" s="164">
        <f t="shared" si="27"/>
        <v>0</v>
      </c>
    </row>
    <row r="152" spans="7:20" x14ac:dyDescent="0.3">
      <c r="G152" s="163">
        <v>4</v>
      </c>
      <c r="H152" s="164" t="s">
        <v>458</v>
      </c>
      <c r="I152" s="164" t="s">
        <v>459</v>
      </c>
      <c r="J152" s="163">
        <v>1</v>
      </c>
      <c r="K152" s="164"/>
      <c r="L152" s="164">
        <f t="shared" si="23"/>
        <v>0</v>
      </c>
      <c r="M152" s="164"/>
      <c r="N152" s="164">
        <f t="shared" si="24"/>
        <v>0</v>
      </c>
      <c r="O152" s="164"/>
      <c r="P152" s="164">
        <f t="shared" si="25"/>
        <v>0</v>
      </c>
      <c r="Q152" s="164"/>
      <c r="R152" s="164">
        <f t="shared" si="26"/>
        <v>0</v>
      </c>
      <c r="S152" s="164"/>
      <c r="T152" s="164">
        <f t="shared" si="27"/>
        <v>0</v>
      </c>
    </row>
    <row r="153" spans="7:20" x14ac:dyDescent="0.3">
      <c r="G153" s="163">
        <v>4</v>
      </c>
      <c r="H153" s="164" t="s">
        <v>460</v>
      </c>
      <c r="I153" s="164" t="s">
        <v>461</v>
      </c>
      <c r="J153" s="163">
        <v>1</v>
      </c>
      <c r="K153" s="164"/>
      <c r="L153" s="164">
        <f t="shared" si="23"/>
        <v>0</v>
      </c>
      <c r="M153" s="164"/>
      <c r="N153" s="164">
        <f t="shared" si="24"/>
        <v>0</v>
      </c>
      <c r="O153" s="164"/>
      <c r="P153" s="164">
        <f t="shared" si="25"/>
        <v>0</v>
      </c>
      <c r="Q153" s="164"/>
      <c r="R153" s="164">
        <f t="shared" si="26"/>
        <v>0</v>
      </c>
      <c r="S153" s="164"/>
      <c r="T153" s="164">
        <f t="shared" si="27"/>
        <v>0</v>
      </c>
    </row>
    <row r="154" spans="7:20" x14ac:dyDescent="0.3">
      <c r="G154" s="163">
        <v>4</v>
      </c>
      <c r="H154" s="164" t="s">
        <v>462</v>
      </c>
      <c r="I154" s="164" t="s">
        <v>463</v>
      </c>
      <c r="J154" s="163">
        <v>1</v>
      </c>
      <c r="K154" s="164"/>
      <c r="L154" s="164">
        <f t="shared" si="23"/>
        <v>0</v>
      </c>
      <c r="M154" s="164"/>
      <c r="N154" s="164">
        <f t="shared" si="24"/>
        <v>0</v>
      </c>
      <c r="O154" s="164"/>
      <c r="P154" s="164">
        <f t="shared" si="25"/>
        <v>0</v>
      </c>
      <c r="Q154" s="164"/>
      <c r="R154" s="164">
        <f t="shared" si="26"/>
        <v>0</v>
      </c>
      <c r="S154" s="164"/>
      <c r="T154" s="164">
        <f t="shared" si="27"/>
        <v>0</v>
      </c>
    </row>
    <row r="155" spans="7:20" x14ac:dyDescent="0.3">
      <c r="G155" s="163">
        <v>4</v>
      </c>
      <c r="H155" s="164" t="s">
        <v>464</v>
      </c>
      <c r="I155" s="164" t="s">
        <v>463</v>
      </c>
      <c r="J155" s="163">
        <v>1</v>
      </c>
      <c r="K155" s="164"/>
      <c r="L155" s="164">
        <f t="shared" si="23"/>
        <v>0</v>
      </c>
      <c r="M155" s="164"/>
      <c r="N155" s="164">
        <f t="shared" si="24"/>
        <v>0</v>
      </c>
      <c r="O155" s="164"/>
      <c r="P155" s="164">
        <f t="shared" si="25"/>
        <v>0</v>
      </c>
      <c r="Q155" s="164"/>
      <c r="R155" s="164">
        <f t="shared" si="26"/>
        <v>0</v>
      </c>
      <c r="S155" s="164"/>
      <c r="T155" s="164">
        <f t="shared" si="27"/>
        <v>0</v>
      </c>
    </row>
    <row r="156" spans="7:20" x14ac:dyDescent="0.3">
      <c r="G156" s="163">
        <v>4</v>
      </c>
      <c r="H156" s="164" t="s">
        <v>465</v>
      </c>
      <c r="I156" s="164" t="s">
        <v>466</v>
      </c>
      <c r="J156" s="163">
        <v>1</v>
      </c>
      <c r="K156" s="164"/>
      <c r="L156" s="164">
        <f t="shared" si="23"/>
        <v>0</v>
      </c>
      <c r="M156" s="164"/>
      <c r="N156" s="164">
        <f t="shared" si="24"/>
        <v>0</v>
      </c>
      <c r="O156" s="164"/>
      <c r="P156" s="164">
        <f t="shared" si="25"/>
        <v>0</v>
      </c>
      <c r="Q156" s="164"/>
      <c r="R156" s="164">
        <f t="shared" si="26"/>
        <v>0</v>
      </c>
      <c r="S156" s="164"/>
      <c r="T156" s="164">
        <f t="shared" si="27"/>
        <v>0</v>
      </c>
    </row>
    <row r="157" spans="7:20" x14ac:dyDescent="0.3">
      <c r="G157" s="163">
        <v>4</v>
      </c>
      <c r="H157" s="164" t="s">
        <v>467</v>
      </c>
      <c r="I157" s="164" t="s">
        <v>468</v>
      </c>
      <c r="J157" s="163">
        <v>1</v>
      </c>
      <c r="K157" s="164"/>
      <c r="L157" s="164">
        <f t="shared" si="23"/>
        <v>0</v>
      </c>
      <c r="M157" s="164"/>
      <c r="N157" s="164">
        <f t="shared" si="24"/>
        <v>0</v>
      </c>
      <c r="O157" s="164"/>
      <c r="P157" s="164">
        <f t="shared" si="25"/>
        <v>0</v>
      </c>
      <c r="Q157" s="164"/>
      <c r="R157" s="164">
        <f t="shared" si="26"/>
        <v>0</v>
      </c>
      <c r="S157" s="164"/>
      <c r="T157" s="164">
        <f t="shared" si="27"/>
        <v>0</v>
      </c>
    </row>
    <row r="158" spans="7:20" x14ac:dyDescent="0.3">
      <c r="G158" s="163">
        <v>4</v>
      </c>
      <c r="H158" s="164" t="s">
        <v>469</v>
      </c>
      <c r="I158" s="164" t="s">
        <v>470</v>
      </c>
      <c r="J158" s="163">
        <v>1</v>
      </c>
      <c r="K158" s="164"/>
      <c r="L158" s="164">
        <f t="shared" si="23"/>
        <v>0</v>
      </c>
      <c r="M158" s="164"/>
      <c r="N158" s="164">
        <f t="shared" si="24"/>
        <v>0</v>
      </c>
      <c r="O158" s="164"/>
      <c r="P158" s="164">
        <f t="shared" si="25"/>
        <v>0</v>
      </c>
      <c r="Q158" s="164"/>
      <c r="R158" s="164">
        <f t="shared" si="26"/>
        <v>0</v>
      </c>
      <c r="S158" s="164"/>
      <c r="T158" s="164">
        <f t="shared" si="27"/>
        <v>0</v>
      </c>
    </row>
    <row r="159" spans="7:20" x14ac:dyDescent="0.3">
      <c r="G159" s="163">
        <v>4</v>
      </c>
      <c r="H159" s="164" t="s">
        <v>471</v>
      </c>
      <c r="I159" s="164" t="s">
        <v>472</v>
      </c>
      <c r="J159" s="163">
        <v>1</v>
      </c>
      <c r="K159" s="164"/>
      <c r="L159" s="164">
        <f t="shared" si="23"/>
        <v>0</v>
      </c>
      <c r="M159" s="164"/>
      <c r="N159" s="164">
        <f t="shared" si="24"/>
        <v>0</v>
      </c>
      <c r="O159" s="164"/>
      <c r="P159" s="164">
        <f t="shared" si="25"/>
        <v>0</v>
      </c>
      <c r="Q159" s="164"/>
      <c r="R159" s="164">
        <f t="shared" si="26"/>
        <v>0</v>
      </c>
      <c r="S159" s="164"/>
      <c r="T159" s="164">
        <f t="shared" si="27"/>
        <v>0</v>
      </c>
    </row>
    <row r="160" spans="7:20" x14ac:dyDescent="0.3">
      <c r="G160" s="163">
        <v>4</v>
      </c>
      <c r="H160" s="164" t="s">
        <v>473</v>
      </c>
      <c r="I160" s="164" t="s">
        <v>474</v>
      </c>
      <c r="J160" s="163">
        <v>1</v>
      </c>
      <c r="K160" s="164"/>
      <c r="L160" s="164">
        <f t="shared" si="23"/>
        <v>0</v>
      </c>
      <c r="M160" s="164"/>
      <c r="N160" s="164">
        <f t="shared" si="24"/>
        <v>0</v>
      </c>
      <c r="O160" s="164"/>
      <c r="P160" s="164">
        <f t="shared" si="25"/>
        <v>0</v>
      </c>
      <c r="Q160" s="164"/>
      <c r="R160" s="164">
        <f t="shared" si="26"/>
        <v>0</v>
      </c>
      <c r="S160" s="164"/>
      <c r="T160" s="164">
        <f t="shared" si="27"/>
        <v>0</v>
      </c>
    </row>
    <row r="161" spans="7:20" x14ac:dyDescent="0.3">
      <c r="G161" s="163">
        <v>4</v>
      </c>
      <c r="H161" s="164" t="s">
        <v>475</v>
      </c>
      <c r="I161" s="164" t="s">
        <v>476</v>
      </c>
      <c r="J161" s="163">
        <v>1</v>
      </c>
      <c r="K161" s="164"/>
      <c r="L161" s="164">
        <f t="shared" si="23"/>
        <v>0</v>
      </c>
      <c r="M161" s="164"/>
      <c r="N161" s="164">
        <f t="shared" si="24"/>
        <v>0</v>
      </c>
      <c r="O161" s="164"/>
      <c r="P161" s="164">
        <f t="shared" si="25"/>
        <v>0</v>
      </c>
      <c r="Q161" s="164"/>
      <c r="R161" s="164">
        <f t="shared" si="26"/>
        <v>0</v>
      </c>
      <c r="S161" s="164"/>
      <c r="T161" s="164">
        <f t="shared" si="27"/>
        <v>0</v>
      </c>
    </row>
    <row r="162" spans="7:20" x14ac:dyDescent="0.3">
      <c r="G162" s="163">
        <v>4</v>
      </c>
      <c r="H162" s="164" t="s">
        <v>477</v>
      </c>
      <c r="I162" s="164" t="s">
        <v>478</v>
      </c>
      <c r="J162" s="163">
        <v>1</v>
      </c>
      <c r="K162" s="164"/>
      <c r="L162" s="164">
        <f t="shared" si="23"/>
        <v>0</v>
      </c>
      <c r="M162" s="164"/>
      <c r="N162" s="164">
        <f t="shared" si="24"/>
        <v>0</v>
      </c>
      <c r="O162" s="164"/>
      <c r="P162" s="164">
        <f t="shared" si="25"/>
        <v>0</v>
      </c>
      <c r="Q162" s="164"/>
      <c r="R162" s="164">
        <f t="shared" si="26"/>
        <v>0</v>
      </c>
      <c r="S162" s="164"/>
      <c r="T162" s="164">
        <f t="shared" si="27"/>
        <v>0</v>
      </c>
    </row>
    <row r="163" spans="7:20" x14ac:dyDescent="0.3">
      <c r="G163" s="163">
        <v>4</v>
      </c>
      <c r="H163" s="164" t="s">
        <v>479</v>
      </c>
      <c r="I163" s="164" t="s">
        <v>480</v>
      </c>
      <c r="J163" s="163">
        <v>1</v>
      </c>
      <c r="K163" s="164"/>
      <c r="L163" s="164">
        <f t="shared" si="23"/>
        <v>0</v>
      </c>
      <c r="M163" s="164"/>
      <c r="N163" s="164">
        <f t="shared" si="24"/>
        <v>0</v>
      </c>
      <c r="O163" s="164"/>
      <c r="P163" s="164">
        <f t="shared" si="25"/>
        <v>0</v>
      </c>
      <c r="Q163" s="164"/>
      <c r="R163" s="164">
        <f t="shared" si="26"/>
        <v>0</v>
      </c>
      <c r="S163" s="164"/>
      <c r="T163" s="164">
        <f t="shared" si="27"/>
        <v>0</v>
      </c>
    </row>
    <row r="164" spans="7:20" x14ac:dyDescent="0.3">
      <c r="G164" s="163">
        <v>4</v>
      </c>
      <c r="H164" s="164" t="s">
        <v>481</v>
      </c>
      <c r="I164" s="164" t="s">
        <v>482</v>
      </c>
      <c r="J164" s="163">
        <v>1</v>
      </c>
      <c r="K164" s="164"/>
      <c r="L164" s="164">
        <f t="shared" si="23"/>
        <v>0</v>
      </c>
      <c r="M164" s="164"/>
      <c r="N164" s="164">
        <f t="shared" si="24"/>
        <v>0</v>
      </c>
      <c r="O164" s="164"/>
      <c r="P164" s="164">
        <f t="shared" si="25"/>
        <v>0</v>
      </c>
      <c r="Q164" s="164"/>
      <c r="R164" s="164">
        <f t="shared" si="26"/>
        <v>0</v>
      </c>
      <c r="S164" s="164"/>
      <c r="T164" s="164">
        <f t="shared" si="27"/>
        <v>0</v>
      </c>
    </row>
    <row r="165" spans="7:20" x14ac:dyDescent="0.3">
      <c r="G165" s="163">
        <v>4</v>
      </c>
      <c r="H165" s="164" t="s">
        <v>483</v>
      </c>
      <c r="I165" s="164" t="s">
        <v>484</v>
      </c>
      <c r="J165" s="163">
        <v>1</v>
      </c>
      <c r="K165" s="164"/>
      <c r="L165" s="164">
        <f t="shared" si="23"/>
        <v>0</v>
      </c>
      <c r="M165" s="164"/>
      <c r="N165" s="164">
        <f t="shared" si="24"/>
        <v>0</v>
      </c>
      <c r="O165" s="164"/>
      <c r="P165" s="164">
        <f t="shared" si="25"/>
        <v>0</v>
      </c>
      <c r="Q165" s="164"/>
      <c r="R165" s="164">
        <f t="shared" si="26"/>
        <v>0</v>
      </c>
      <c r="S165" s="164"/>
      <c r="T165" s="164">
        <f t="shared" si="27"/>
        <v>0</v>
      </c>
    </row>
    <row r="166" spans="7:20" x14ac:dyDescent="0.3">
      <c r="G166" s="163">
        <v>4</v>
      </c>
      <c r="H166" s="164" t="s">
        <v>485</v>
      </c>
      <c r="I166" s="164" t="s">
        <v>486</v>
      </c>
      <c r="J166" s="163">
        <v>1</v>
      </c>
      <c r="K166" s="164"/>
      <c r="L166" s="164">
        <f t="shared" si="23"/>
        <v>0</v>
      </c>
      <c r="M166" s="164"/>
      <c r="N166" s="164">
        <f t="shared" si="24"/>
        <v>0</v>
      </c>
      <c r="O166" s="164"/>
      <c r="P166" s="164">
        <f t="shared" si="25"/>
        <v>0</v>
      </c>
      <c r="Q166" s="164"/>
      <c r="R166" s="164">
        <f t="shared" si="26"/>
        <v>0</v>
      </c>
      <c r="S166" s="164"/>
      <c r="T166" s="164">
        <f t="shared" si="27"/>
        <v>0</v>
      </c>
    </row>
    <row r="167" spans="7:20" x14ac:dyDescent="0.3">
      <c r="G167" s="163">
        <v>4</v>
      </c>
      <c r="H167" s="164" t="s">
        <v>487</v>
      </c>
      <c r="I167" s="164" t="s">
        <v>488</v>
      </c>
      <c r="J167" s="163">
        <v>1</v>
      </c>
      <c r="K167" s="164"/>
      <c r="L167" s="164">
        <f t="shared" si="23"/>
        <v>0</v>
      </c>
      <c r="M167" s="164"/>
      <c r="N167" s="164">
        <f t="shared" si="24"/>
        <v>0</v>
      </c>
      <c r="O167" s="164"/>
      <c r="P167" s="164">
        <f t="shared" si="25"/>
        <v>0</v>
      </c>
      <c r="Q167" s="164"/>
      <c r="R167" s="164">
        <f t="shared" si="26"/>
        <v>0</v>
      </c>
      <c r="S167" s="164"/>
      <c r="T167" s="164">
        <f t="shared" si="27"/>
        <v>0</v>
      </c>
    </row>
    <row r="168" spans="7:20" x14ac:dyDescent="0.3">
      <c r="G168" s="163">
        <v>4</v>
      </c>
      <c r="H168" s="164" t="s">
        <v>489</v>
      </c>
      <c r="I168" s="164" t="s">
        <v>488</v>
      </c>
      <c r="J168" s="163">
        <v>1</v>
      </c>
      <c r="K168" s="164"/>
      <c r="L168" s="164">
        <f t="shared" si="23"/>
        <v>0</v>
      </c>
      <c r="M168" s="164"/>
      <c r="N168" s="164">
        <f t="shared" si="24"/>
        <v>0</v>
      </c>
      <c r="O168" s="164"/>
      <c r="P168" s="164">
        <f t="shared" si="25"/>
        <v>0</v>
      </c>
      <c r="Q168" s="164"/>
      <c r="R168" s="164">
        <f t="shared" si="26"/>
        <v>0</v>
      </c>
      <c r="S168" s="164"/>
      <c r="T168" s="164">
        <f t="shared" si="27"/>
        <v>0</v>
      </c>
    </row>
    <row r="169" spans="7:20" x14ac:dyDescent="0.3">
      <c r="G169" s="163">
        <v>4</v>
      </c>
      <c r="H169" s="164" t="s">
        <v>490</v>
      </c>
      <c r="I169" s="164" t="s">
        <v>491</v>
      </c>
      <c r="J169" s="163">
        <v>1</v>
      </c>
      <c r="K169" s="164"/>
      <c r="L169" s="164">
        <f t="shared" si="23"/>
        <v>0</v>
      </c>
      <c r="M169" s="164"/>
      <c r="N169" s="164">
        <f t="shared" si="24"/>
        <v>0</v>
      </c>
      <c r="O169" s="164"/>
      <c r="P169" s="164">
        <f t="shared" si="25"/>
        <v>0</v>
      </c>
      <c r="Q169" s="164"/>
      <c r="R169" s="164">
        <f t="shared" si="26"/>
        <v>0</v>
      </c>
      <c r="S169" s="164"/>
      <c r="T169" s="164">
        <f t="shared" si="27"/>
        <v>0</v>
      </c>
    </row>
    <row r="170" spans="7:20" x14ac:dyDescent="0.3">
      <c r="G170" s="163">
        <v>4</v>
      </c>
      <c r="H170" s="164" t="s">
        <v>492</v>
      </c>
      <c r="I170" s="164" t="s">
        <v>493</v>
      </c>
      <c r="J170" s="163">
        <v>1</v>
      </c>
      <c r="K170" s="164"/>
      <c r="L170" s="164">
        <f t="shared" si="23"/>
        <v>0</v>
      </c>
      <c r="M170" s="164"/>
      <c r="N170" s="164">
        <f t="shared" si="24"/>
        <v>0</v>
      </c>
      <c r="O170" s="164"/>
      <c r="P170" s="164">
        <f t="shared" si="25"/>
        <v>0</v>
      </c>
      <c r="Q170" s="164"/>
      <c r="R170" s="164">
        <f t="shared" si="26"/>
        <v>0</v>
      </c>
      <c r="S170" s="164"/>
      <c r="T170" s="164">
        <f t="shared" si="27"/>
        <v>0</v>
      </c>
    </row>
    <row r="171" spans="7:20" x14ac:dyDescent="0.3">
      <c r="G171" s="163">
        <v>4</v>
      </c>
      <c r="H171" s="164" t="s">
        <v>494</v>
      </c>
      <c r="I171" s="164" t="s">
        <v>495</v>
      </c>
      <c r="J171" s="163">
        <v>1</v>
      </c>
      <c r="K171" s="164"/>
      <c r="L171" s="164">
        <f t="shared" si="23"/>
        <v>0</v>
      </c>
      <c r="M171" s="164"/>
      <c r="N171" s="164">
        <f t="shared" si="24"/>
        <v>0</v>
      </c>
      <c r="O171" s="164"/>
      <c r="P171" s="164">
        <f t="shared" si="25"/>
        <v>0</v>
      </c>
      <c r="Q171" s="164"/>
      <c r="R171" s="164">
        <f t="shared" si="26"/>
        <v>0</v>
      </c>
      <c r="S171" s="164"/>
      <c r="T171" s="164">
        <f t="shared" si="27"/>
        <v>0</v>
      </c>
    </row>
    <row r="172" spans="7:20" x14ac:dyDescent="0.3">
      <c r="G172" s="163">
        <v>4</v>
      </c>
      <c r="H172" s="164" t="s">
        <v>496</v>
      </c>
      <c r="I172" s="164" t="s">
        <v>497</v>
      </c>
      <c r="J172" s="163">
        <v>1</v>
      </c>
      <c r="K172" s="164"/>
      <c r="L172" s="164">
        <f t="shared" si="23"/>
        <v>0</v>
      </c>
      <c r="M172" s="164"/>
      <c r="N172" s="164">
        <f t="shared" si="24"/>
        <v>0</v>
      </c>
      <c r="O172" s="164"/>
      <c r="P172" s="164">
        <f t="shared" si="25"/>
        <v>0</v>
      </c>
      <c r="Q172" s="164"/>
      <c r="R172" s="164">
        <f t="shared" si="26"/>
        <v>0</v>
      </c>
      <c r="S172" s="164"/>
      <c r="T172" s="164">
        <f t="shared" si="27"/>
        <v>0</v>
      </c>
    </row>
    <row r="173" spans="7:20" x14ac:dyDescent="0.3">
      <c r="G173" s="163">
        <v>4</v>
      </c>
      <c r="H173" s="164" t="s">
        <v>498</v>
      </c>
      <c r="I173" s="164" t="s">
        <v>499</v>
      </c>
      <c r="J173" s="163">
        <v>1</v>
      </c>
      <c r="K173" s="164"/>
      <c r="L173" s="164">
        <f t="shared" si="23"/>
        <v>0</v>
      </c>
      <c r="M173" s="164"/>
      <c r="N173" s="164">
        <f t="shared" si="24"/>
        <v>0</v>
      </c>
      <c r="O173" s="164"/>
      <c r="P173" s="164">
        <f t="shared" si="25"/>
        <v>0</v>
      </c>
      <c r="Q173" s="164"/>
      <c r="R173" s="164">
        <f t="shared" si="26"/>
        <v>0</v>
      </c>
      <c r="S173" s="164"/>
      <c r="T173" s="164">
        <f t="shared" si="27"/>
        <v>0</v>
      </c>
    </row>
    <row r="174" spans="7:20" x14ac:dyDescent="0.3">
      <c r="G174" s="163">
        <v>4</v>
      </c>
      <c r="H174" s="164" t="s">
        <v>500</v>
      </c>
      <c r="I174" s="164" t="s">
        <v>501</v>
      </c>
      <c r="J174" s="163">
        <v>1</v>
      </c>
      <c r="K174" s="164"/>
      <c r="L174" s="164">
        <f t="shared" si="23"/>
        <v>0</v>
      </c>
      <c r="M174" s="164"/>
      <c r="N174" s="164">
        <f t="shared" si="24"/>
        <v>0</v>
      </c>
      <c r="O174" s="164"/>
      <c r="P174" s="164">
        <f t="shared" si="25"/>
        <v>0</v>
      </c>
      <c r="Q174" s="164"/>
      <c r="R174" s="164">
        <f t="shared" si="26"/>
        <v>0</v>
      </c>
      <c r="S174" s="164"/>
      <c r="T174" s="164">
        <f t="shared" si="27"/>
        <v>0</v>
      </c>
    </row>
    <row r="175" spans="7:20" x14ac:dyDescent="0.3">
      <c r="G175" s="163">
        <v>4</v>
      </c>
      <c r="H175" s="164" t="s">
        <v>502</v>
      </c>
      <c r="I175" s="164" t="s">
        <v>503</v>
      </c>
      <c r="J175" s="163">
        <v>1</v>
      </c>
      <c r="K175" s="164"/>
      <c r="L175" s="164">
        <f t="shared" si="23"/>
        <v>0</v>
      </c>
      <c r="M175" s="164"/>
      <c r="N175" s="164">
        <f t="shared" si="24"/>
        <v>0</v>
      </c>
      <c r="O175" s="164"/>
      <c r="P175" s="164">
        <f t="shared" si="25"/>
        <v>0</v>
      </c>
      <c r="Q175" s="164"/>
      <c r="R175" s="164">
        <f t="shared" si="26"/>
        <v>0</v>
      </c>
      <c r="S175" s="164"/>
      <c r="T175" s="164">
        <f t="shared" si="27"/>
        <v>0</v>
      </c>
    </row>
    <row r="176" spans="7:20" x14ac:dyDescent="0.3">
      <c r="G176" s="163">
        <v>4</v>
      </c>
      <c r="H176" s="164" t="s">
        <v>504</v>
      </c>
      <c r="I176" s="164" t="s">
        <v>505</v>
      </c>
      <c r="J176" s="163">
        <v>1</v>
      </c>
      <c r="K176" s="164"/>
      <c r="L176" s="164">
        <f t="shared" si="23"/>
        <v>0</v>
      </c>
      <c r="M176" s="164"/>
      <c r="N176" s="164">
        <f t="shared" si="24"/>
        <v>0</v>
      </c>
      <c r="O176" s="164"/>
      <c r="P176" s="164">
        <f t="shared" si="25"/>
        <v>0</v>
      </c>
      <c r="Q176" s="164"/>
      <c r="R176" s="164">
        <f t="shared" si="26"/>
        <v>0</v>
      </c>
      <c r="S176" s="164"/>
      <c r="T176" s="164">
        <f t="shared" si="27"/>
        <v>0</v>
      </c>
    </row>
    <row r="177" spans="1:20" x14ac:dyDescent="0.3">
      <c r="G177" s="163">
        <v>4</v>
      </c>
      <c r="H177" s="164" t="s">
        <v>506</v>
      </c>
      <c r="I177" s="164" t="s">
        <v>507</v>
      </c>
      <c r="J177" s="163">
        <v>1</v>
      </c>
      <c r="K177" s="164"/>
      <c r="L177" s="164">
        <f t="shared" si="23"/>
        <v>0</v>
      </c>
      <c r="M177" s="164"/>
      <c r="N177" s="164">
        <f t="shared" si="24"/>
        <v>0</v>
      </c>
      <c r="O177" s="164"/>
      <c r="P177" s="164">
        <f t="shared" si="25"/>
        <v>0</v>
      </c>
      <c r="Q177" s="164"/>
      <c r="R177" s="164">
        <f t="shared" si="26"/>
        <v>0</v>
      </c>
      <c r="S177" s="164"/>
      <c r="T177" s="164">
        <f t="shared" si="27"/>
        <v>0</v>
      </c>
    </row>
    <row r="178" spans="1:20" x14ac:dyDescent="0.3">
      <c r="G178" s="163">
        <v>4</v>
      </c>
      <c r="H178" s="164" t="s">
        <v>508</v>
      </c>
      <c r="I178" s="164" t="s">
        <v>509</v>
      </c>
      <c r="J178" s="163">
        <v>1</v>
      </c>
      <c r="K178" s="164"/>
      <c r="L178" s="164">
        <f t="shared" si="23"/>
        <v>0</v>
      </c>
      <c r="M178" s="164"/>
      <c r="N178" s="164">
        <f t="shared" si="24"/>
        <v>0</v>
      </c>
      <c r="O178" s="164"/>
      <c r="P178" s="164">
        <f t="shared" si="25"/>
        <v>0</v>
      </c>
      <c r="Q178" s="164"/>
      <c r="R178" s="164">
        <f t="shared" si="26"/>
        <v>0</v>
      </c>
      <c r="S178" s="164"/>
      <c r="T178" s="164">
        <f t="shared" si="27"/>
        <v>0</v>
      </c>
    </row>
    <row r="179" spans="1:20" x14ac:dyDescent="0.3">
      <c r="G179" s="163">
        <v>4</v>
      </c>
      <c r="H179" s="164" t="s">
        <v>510</v>
      </c>
      <c r="I179" s="164" t="s">
        <v>511</v>
      </c>
      <c r="J179" s="163">
        <v>1</v>
      </c>
      <c r="K179" s="164"/>
      <c r="L179" s="164">
        <f t="shared" si="23"/>
        <v>0</v>
      </c>
      <c r="M179" s="164"/>
      <c r="N179" s="164">
        <f t="shared" si="24"/>
        <v>0</v>
      </c>
      <c r="O179" s="164"/>
      <c r="P179" s="164">
        <f t="shared" si="25"/>
        <v>0</v>
      </c>
      <c r="Q179" s="164"/>
      <c r="R179" s="164">
        <f t="shared" si="26"/>
        <v>0</v>
      </c>
      <c r="S179" s="164"/>
      <c r="T179" s="164">
        <f t="shared" si="27"/>
        <v>0</v>
      </c>
    </row>
    <row r="180" spans="1:20" x14ac:dyDescent="0.3">
      <c r="G180" s="163">
        <v>4</v>
      </c>
      <c r="H180" s="164" t="s">
        <v>512</v>
      </c>
      <c r="I180" s="164" t="s">
        <v>513</v>
      </c>
      <c r="J180" s="163">
        <v>1</v>
      </c>
      <c r="K180" s="164"/>
      <c r="L180" s="164">
        <f t="shared" si="23"/>
        <v>0</v>
      </c>
      <c r="M180" s="164"/>
      <c r="N180" s="164">
        <f t="shared" si="24"/>
        <v>0</v>
      </c>
      <c r="O180" s="164"/>
      <c r="P180" s="164">
        <f t="shared" si="25"/>
        <v>0</v>
      </c>
      <c r="Q180" s="164"/>
      <c r="R180" s="164">
        <f t="shared" si="26"/>
        <v>0</v>
      </c>
      <c r="S180" s="164"/>
      <c r="T180" s="164">
        <f t="shared" si="27"/>
        <v>0</v>
      </c>
    </row>
    <row r="181" spans="1:20" x14ac:dyDescent="0.3">
      <c r="G181" s="163">
        <v>4</v>
      </c>
      <c r="H181" s="164" t="s">
        <v>514</v>
      </c>
      <c r="I181" s="164" t="s">
        <v>515</v>
      </c>
      <c r="J181" s="163">
        <v>1</v>
      </c>
      <c r="K181" s="164"/>
      <c r="L181" s="164">
        <f t="shared" si="23"/>
        <v>0</v>
      </c>
      <c r="M181" s="164"/>
      <c r="N181" s="164">
        <f t="shared" si="24"/>
        <v>0</v>
      </c>
      <c r="O181" s="164"/>
      <c r="P181" s="164">
        <f t="shared" si="25"/>
        <v>0</v>
      </c>
      <c r="Q181" s="164"/>
      <c r="R181" s="164">
        <f t="shared" si="26"/>
        <v>0</v>
      </c>
      <c r="S181" s="164"/>
      <c r="T181" s="164">
        <f t="shared" si="27"/>
        <v>0</v>
      </c>
    </row>
    <row r="182" spans="1:20" x14ac:dyDescent="0.3">
      <c r="G182" s="163">
        <v>4</v>
      </c>
      <c r="H182" s="164" t="s">
        <v>516</v>
      </c>
      <c r="I182" s="164" t="s">
        <v>517</v>
      </c>
      <c r="J182" s="163">
        <v>1</v>
      </c>
      <c r="K182" s="164"/>
      <c r="L182" s="164">
        <f t="shared" si="23"/>
        <v>0</v>
      </c>
      <c r="M182" s="164"/>
      <c r="N182" s="164">
        <f t="shared" si="24"/>
        <v>0</v>
      </c>
      <c r="O182" s="164"/>
      <c r="P182" s="164">
        <f t="shared" si="25"/>
        <v>0</v>
      </c>
      <c r="Q182" s="164"/>
      <c r="R182" s="164">
        <f t="shared" si="26"/>
        <v>0</v>
      </c>
      <c r="S182" s="164"/>
      <c r="T182" s="164">
        <f t="shared" si="27"/>
        <v>0</v>
      </c>
    </row>
    <row r="183" spans="1:20" hidden="1" x14ac:dyDescent="0.3">
      <c r="A183" s="162" t="s">
        <v>518</v>
      </c>
      <c r="B183" s="162" t="s">
        <v>519</v>
      </c>
      <c r="C183" s="162" t="s">
        <v>89</v>
      </c>
      <c r="D183" s="162">
        <v>1250</v>
      </c>
      <c r="E183" s="171">
        <v>100</v>
      </c>
      <c r="F183" s="162">
        <f>+E183*D183</f>
        <v>125000</v>
      </c>
      <c r="G183" s="163">
        <v>4</v>
      </c>
      <c r="H183" s="164" t="s">
        <v>520</v>
      </c>
      <c r="I183" s="164" t="s">
        <v>521</v>
      </c>
      <c r="J183" s="163">
        <v>1</v>
      </c>
      <c r="K183" s="164"/>
      <c r="L183" s="164">
        <f t="shared" si="23"/>
        <v>0</v>
      </c>
      <c r="M183" s="164"/>
      <c r="N183" s="164">
        <f t="shared" si="24"/>
        <v>0</v>
      </c>
      <c r="O183" s="164"/>
      <c r="P183" s="164">
        <f t="shared" si="25"/>
        <v>0</v>
      </c>
      <c r="Q183" s="164"/>
      <c r="R183" s="164">
        <f t="shared" si="26"/>
        <v>0</v>
      </c>
      <c r="S183" s="164"/>
      <c r="T183" s="164">
        <f t="shared" si="27"/>
        <v>0</v>
      </c>
    </row>
    <row r="184" spans="1:20" hidden="1" x14ac:dyDescent="0.3">
      <c r="A184" s="162" t="s">
        <v>522</v>
      </c>
      <c r="B184" s="162" t="s">
        <v>523</v>
      </c>
      <c r="C184" s="162" t="s">
        <v>89</v>
      </c>
      <c r="D184" s="162">
        <v>2050</v>
      </c>
      <c r="E184" s="171">
        <v>100</v>
      </c>
      <c r="F184" s="162">
        <f>+E184*D184</f>
        <v>205000</v>
      </c>
      <c r="G184" s="163">
        <v>4</v>
      </c>
      <c r="H184" s="164" t="s">
        <v>524</v>
      </c>
      <c r="I184" s="164" t="s">
        <v>525</v>
      </c>
      <c r="J184" s="163">
        <v>1</v>
      </c>
      <c r="K184" s="164"/>
      <c r="L184" s="164">
        <f t="shared" si="23"/>
        <v>0</v>
      </c>
      <c r="M184" s="164"/>
      <c r="N184" s="164">
        <f t="shared" si="24"/>
        <v>0</v>
      </c>
      <c r="O184" s="164"/>
      <c r="P184" s="164">
        <f t="shared" si="25"/>
        <v>0</v>
      </c>
      <c r="Q184" s="164"/>
      <c r="R184" s="164">
        <f t="shared" si="26"/>
        <v>0</v>
      </c>
      <c r="S184" s="164"/>
      <c r="T184" s="164">
        <f t="shared" si="27"/>
        <v>0</v>
      </c>
    </row>
    <row r="185" spans="1:20" hidden="1" x14ac:dyDescent="0.3">
      <c r="A185" s="162" t="s">
        <v>526</v>
      </c>
      <c r="B185" s="162" t="s">
        <v>527</v>
      </c>
      <c r="F185" s="162">
        <v>0</v>
      </c>
      <c r="G185" s="163">
        <v>4</v>
      </c>
      <c r="H185" s="164" t="s">
        <v>528</v>
      </c>
      <c r="I185" s="164" t="s">
        <v>529</v>
      </c>
      <c r="J185" s="163">
        <v>1</v>
      </c>
      <c r="K185" s="164"/>
      <c r="L185" s="164">
        <f t="shared" si="23"/>
        <v>0</v>
      </c>
      <c r="M185" s="164"/>
      <c r="N185" s="164">
        <f t="shared" si="24"/>
        <v>0</v>
      </c>
      <c r="O185" s="164"/>
      <c r="P185" s="164">
        <f t="shared" si="25"/>
        <v>0</v>
      </c>
      <c r="Q185" s="164"/>
      <c r="R185" s="164">
        <f t="shared" si="26"/>
        <v>0</v>
      </c>
      <c r="S185" s="164"/>
      <c r="T185" s="164">
        <f t="shared" si="27"/>
        <v>0</v>
      </c>
    </row>
    <row r="186" spans="1:20" hidden="1" x14ac:dyDescent="0.3">
      <c r="A186" s="162" t="s">
        <v>530</v>
      </c>
      <c r="B186" s="162" t="s">
        <v>531</v>
      </c>
      <c r="C186" s="162" t="s">
        <v>89</v>
      </c>
      <c r="D186" s="162">
        <v>1</v>
      </c>
      <c r="E186" s="171">
        <v>0</v>
      </c>
      <c r="F186" s="162">
        <f t="shared" ref="F186:F201" si="28">+E186*D186</f>
        <v>0</v>
      </c>
      <c r="G186" s="163">
        <v>4</v>
      </c>
      <c r="H186" s="164" t="s">
        <v>532</v>
      </c>
      <c r="I186" s="164" t="s">
        <v>533</v>
      </c>
      <c r="J186" s="163">
        <v>1</v>
      </c>
      <c r="K186" s="164"/>
      <c r="L186" s="164">
        <f t="shared" si="23"/>
        <v>0</v>
      </c>
      <c r="M186" s="164"/>
      <c r="N186" s="164">
        <f t="shared" si="24"/>
        <v>0</v>
      </c>
      <c r="O186" s="164"/>
      <c r="P186" s="164">
        <f t="shared" si="25"/>
        <v>0</v>
      </c>
      <c r="Q186" s="164"/>
      <c r="R186" s="164">
        <f t="shared" si="26"/>
        <v>0</v>
      </c>
      <c r="S186" s="164"/>
      <c r="T186" s="164">
        <f t="shared" si="27"/>
        <v>0</v>
      </c>
    </row>
    <row r="187" spans="1:20" hidden="1" x14ac:dyDescent="0.3">
      <c r="A187" s="162" t="s">
        <v>534</v>
      </c>
      <c r="B187" s="162" t="s">
        <v>535</v>
      </c>
      <c r="C187" s="162" t="s">
        <v>89</v>
      </c>
      <c r="D187" s="162">
        <v>1</v>
      </c>
      <c r="E187" s="171">
        <v>0</v>
      </c>
      <c r="F187" s="162">
        <f t="shared" si="28"/>
        <v>0</v>
      </c>
      <c r="G187" s="163">
        <v>4</v>
      </c>
      <c r="H187" s="164" t="s">
        <v>536</v>
      </c>
      <c r="I187" s="164" t="s">
        <v>537</v>
      </c>
      <c r="J187" s="163">
        <v>1</v>
      </c>
      <c r="K187" s="164"/>
      <c r="L187" s="164">
        <f t="shared" si="23"/>
        <v>0</v>
      </c>
      <c r="M187" s="164"/>
      <c r="N187" s="164">
        <f t="shared" si="24"/>
        <v>0</v>
      </c>
      <c r="O187" s="164"/>
      <c r="P187" s="164">
        <f t="shared" si="25"/>
        <v>0</v>
      </c>
      <c r="Q187" s="164"/>
      <c r="R187" s="164">
        <f t="shared" si="26"/>
        <v>0</v>
      </c>
      <c r="S187" s="164"/>
      <c r="T187" s="164">
        <f t="shared" si="27"/>
        <v>0</v>
      </c>
    </row>
    <row r="188" spans="1:20" hidden="1" x14ac:dyDescent="0.3">
      <c r="A188" s="162" t="s">
        <v>538</v>
      </c>
      <c r="B188" s="162" t="s">
        <v>539</v>
      </c>
      <c r="C188" s="162" t="s">
        <v>89</v>
      </c>
      <c r="D188" s="162">
        <v>1</v>
      </c>
      <c r="E188" s="171">
        <v>0</v>
      </c>
      <c r="F188" s="162">
        <f t="shared" si="28"/>
        <v>0</v>
      </c>
      <c r="G188" s="163">
        <v>4</v>
      </c>
      <c r="H188" s="164" t="s">
        <v>540</v>
      </c>
      <c r="I188" s="164" t="s">
        <v>541</v>
      </c>
      <c r="J188" s="163">
        <v>1</v>
      </c>
      <c r="K188" s="164"/>
      <c r="L188" s="164">
        <f t="shared" si="23"/>
        <v>0</v>
      </c>
      <c r="M188" s="164"/>
      <c r="N188" s="164">
        <f t="shared" si="24"/>
        <v>0</v>
      </c>
      <c r="O188" s="164"/>
      <c r="P188" s="164">
        <f t="shared" si="25"/>
        <v>0</v>
      </c>
      <c r="Q188" s="164"/>
      <c r="R188" s="164">
        <f t="shared" si="26"/>
        <v>0</v>
      </c>
      <c r="S188" s="164"/>
      <c r="T188" s="164">
        <f t="shared" si="27"/>
        <v>0</v>
      </c>
    </row>
    <row r="189" spans="1:20" hidden="1" x14ac:dyDescent="0.3">
      <c r="A189" s="162" t="s">
        <v>542</v>
      </c>
      <c r="B189" s="162" t="s">
        <v>543</v>
      </c>
      <c r="C189" s="162" t="s">
        <v>89</v>
      </c>
      <c r="D189" s="162">
        <v>1</v>
      </c>
      <c r="E189" s="171">
        <v>0</v>
      </c>
      <c r="F189" s="162">
        <f t="shared" si="28"/>
        <v>0</v>
      </c>
      <c r="G189" s="163">
        <v>4</v>
      </c>
      <c r="H189" s="164" t="s">
        <v>544</v>
      </c>
      <c r="I189" s="164" t="s">
        <v>545</v>
      </c>
      <c r="J189" s="163">
        <v>1</v>
      </c>
      <c r="K189" s="164"/>
      <c r="L189" s="164">
        <f t="shared" si="23"/>
        <v>0</v>
      </c>
      <c r="M189" s="164"/>
      <c r="N189" s="164">
        <f t="shared" si="24"/>
        <v>0</v>
      </c>
      <c r="O189" s="164"/>
      <c r="P189" s="164">
        <f t="shared" si="25"/>
        <v>0</v>
      </c>
      <c r="Q189" s="164"/>
      <c r="R189" s="164">
        <f t="shared" si="26"/>
        <v>0</v>
      </c>
      <c r="S189" s="164"/>
      <c r="T189" s="164">
        <f t="shared" si="27"/>
        <v>0</v>
      </c>
    </row>
    <row r="190" spans="1:20" hidden="1" x14ac:dyDescent="0.3">
      <c r="A190" s="162" t="s">
        <v>546</v>
      </c>
      <c r="B190" s="162" t="s">
        <v>547</v>
      </c>
      <c r="C190" s="162" t="s">
        <v>89</v>
      </c>
      <c r="D190" s="162">
        <v>1</v>
      </c>
      <c r="E190" s="171">
        <v>0</v>
      </c>
      <c r="F190" s="162">
        <f t="shared" si="28"/>
        <v>0</v>
      </c>
      <c r="G190" s="163">
        <v>4</v>
      </c>
      <c r="H190" s="164" t="s">
        <v>548</v>
      </c>
      <c r="I190" s="164" t="s">
        <v>549</v>
      </c>
      <c r="J190" s="163">
        <v>1</v>
      </c>
      <c r="K190" s="164"/>
      <c r="L190" s="164">
        <f t="shared" si="23"/>
        <v>0</v>
      </c>
      <c r="M190" s="164"/>
      <c r="N190" s="164">
        <f t="shared" si="24"/>
        <v>0</v>
      </c>
      <c r="O190" s="164"/>
      <c r="P190" s="164">
        <f t="shared" si="25"/>
        <v>0</v>
      </c>
      <c r="Q190" s="164"/>
      <c r="R190" s="164">
        <f t="shared" si="26"/>
        <v>0</v>
      </c>
      <c r="S190" s="164"/>
      <c r="T190" s="164">
        <f t="shared" si="27"/>
        <v>0</v>
      </c>
    </row>
    <row r="191" spans="1:20" hidden="1" x14ac:dyDescent="0.3">
      <c r="A191" s="162" t="s">
        <v>550</v>
      </c>
      <c r="B191" s="162" t="s">
        <v>551</v>
      </c>
      <c r="C191" s="162" t="s">
        <v>89</v>
      </c>
      <c r="D191" s="162">
        <v>1</v>
      </c>
      <c r="E191" s="171">
        <v>0</v>
      </c>
      <c r="F191" s="162">
        <f t="shared" si="28"/>
        <v>0</v>
      </c>
      <c r="G191" s="163">
        <v>4</v>
      </c>
      <c r="H191" s="164" t="s">
        <v>552</v>
      </c>
      <c r="I191" s="164" t="s">
        <v>553</v>
      </c>
      <c r="J191" s="163">
        <v>1</v>
      </c>
      <c r="K191" s="164"/>
      <c r="L191" s="164">
        <f t="shared" si="23"/>
        <v>0</v>
      </c>
      <c r="M191" s="164"/>
      <c r="N191" s="164">
        <f t="shared" si="24"/>
        <v>0</v>
      </c>
      <c r="O191" s="164"/>
      <c r="P191" s="164">
        <f t="shared" si="25"/>
        <v>0</v>
      </c>
      <c r="Q191" s="164"/>
      <c r="R191" s="164">
        <f t="shared" si="26"/>
        <v>0</v>
      </c>
      <c r="S191" s="164"/>
      <c r="T191" s="164">
        <f t="shared" si="27"/>
        <v>0</v>
      </c>
    </row>
    <row r="192" spans="1:20" hidden="1" x14ac:dyDescent="0.3">
      <c r="A192" s="162" t="s">
        <v>554</v>
      </c>
      <c r="B192" s="162" t="s">
        <v>555</v>
      </c>
      <c r="C192" s="162" t="s">
        <v>89</v>
      </c>
      <c r="D192" s="162">
        <v>1</v>
      </c>
      <c r="E192" s="171">
        <v>0</v>
      </c>
      <c r="F192" s="162">
        <f t="shared" si="28"/>
        <v>0</v>
      </c>
      <c r="G192" s="163">
        <v>4</v>
      </c>
      <c r="H192" s="164" t="s">
        <v>556</v>
      </c>
      <c r="I192" s="164" t="s">
        <v>557</v>
      </c>
      <c r="J192" s="163">
        <v>1</v>
      </c>
      <c r="K192" s="164"/>
      <c r="L192" s="164">
        <f t="shared" si="23"/>
        <v>0</v>
      </c>
      <c r="M192" s="164"/>
      <c r="N192" s="164">
        <f t="shared" si="24"/>
        <v>0</v>
      </c>
      <c r="O192" s="164"/>
      <c r="P192" s="164">
        <f t="shared" si="25"/>
        <v>0</v>
      </c>
      <c r="Q192" s="164"/>
      <c r="R192" s="164">
        <f t="shared" si="26"/>
        <v>0</v>
      </c>
      <c r="S192" s="164"/>
      <c r="T192" s="164">
        <f t="shared" si="27"/>
        <v>0</v>
      </c>
    </row>
    <row r="193" spans="1:20" hidden="1" x14ac:dyDescent="0.3">
      <c r="A193" s="162" t="s">
        <v>558</v>
      </c>
      <c r="B193" s="162" t="s">
        <v>559</v>
      </c>
      <c r="C193" s="162" t="s">
        <v>89</v>
      </c>
      <c r="D193" s="162">
        <v>4500</v>
      </c>
      <c r="E193" s="171">
        <v>0</v>
      </c>
      <c r="F193" s="162">
        <f t="shared" si="28"/>
        <v>0</v>
      </c>
      <c r="G193" s="163">
        <v>4</v>
      </c>
      <c r="H193" s="164" t="s">
        <v>560</v>
      </c>
      <c r="I193" s="164" t="s">
        <v>561</v>
      </c>
      <c r="J193" s="163">
        <v>1</v>
      </c>
      <c r="K193" s="164"/>
      <c r="L193" s="164">
        <f t="shared" si="23"/>
        <v>0</v>
      </c>
      <c r="M193" s="164"/>
      <c r="N193" s="164">
        <f t="shared" si="24"/>
        <v>0</v>
      </c>
      <c r="O193" s="164"/>
      <c r="P193" s="164">
        <f t="shared" si="25"/>
        <v>0</v>
      </c>
      <c r="Q193" s="164"/>
      <c r="R193" s="164">
        <f t="shared" si="26"/>
        <v>0</v>
      </c>
      <c r="S193" s="164"/>
      <c r="T193" s="164">
        <f t="shared" si="27"/>
        <v>0</v>
      </c>
    </row>
    <row r="194" spans="1:20" hidden="1" x14ac:dyDescent="0.3">
      <c r="A194" s="162" t="s">
        <v>562</v>
      </c>
      <c r="B194" s="162" t="s">
        <v>563</v>
      </c>
      <c r="C194" s="162" t="s">
        <v>89</v>
      </c>
      <c r="D194" s="162">
        <v>5600</v>
      </c>
      <c r="E194" s="171">
        <v>0</v>
      </c>
      <c r="F194" s="162">
        <f t="shared" si="28"/>
        <v>0</v>
      </c>
      <c r="G194" s="163">
        <v>4</v>
      </c>
      <c r="H194" s="164" t="s">
        <v>564</v>
      </c>
      <c r="I194" s="164" t="s">
        <v>565</v>
      </c>
      <c r="J194" s="163">
        <v>1</v>
      </c>
      <c r="K194" s="164"/>
      <c r="L194" s="164">
        <f t="shared" si="23"/>
        <v>0</v>
      </c>
      <c r="M194" s="164"/>
      <c r="N194" s="164">
        <f t="shared" si="24"/>
        <v>0</v>
      </c>
      <c r="O194" s="164"/>
      <c r="P194" s="164">
        <f t="shared" si="25"/>
        <v>0</v>
      </c>
      <c r="Q194" s="164"/>
      <c r="R194" s="164">
        <f t="shared" si="26"/>
        <v>0</v>
      </c>
      <c r="S194" s="164"/>
      <c r="T194" s="164">
        <f t="shared" si="27"/>
        <v>0</v>
      </c>
    </row>
    <row r="195" spans="1:20" hidden="1" x14ac:dyDescent="0.3">
      <c r="A195" s="162" t="s">
        <v>566</v>
      </c>
      <c r="B195" s="162" t="s">
        <v>567</v>
      </c>
      <c r="C195" s="162" t="s">
        <v>89</v>
      </c>
      <c r="D195" s="162">
        <v>5700</v>
      </c>
      <c r="E195" s="171">
        <v>12</v>
      </c>
      <c r="F195" s="162">
        <f t="shared" si="28"/>
        <v>68400</v>
      </c>
      <c r="G195" s="163">
        <v>4</v>
      </c>
      <c r="H195" s="164" t="s">
        <v>568</v>
      </c>
      <c r="I195" s="164" t="s">
        <v>569</v>
      </c>
      <c r="J195" s="163">
        <v>1</v>
      </c>
      <c r="K195" s="164"/>
      <c r="L195" s="164">
        <f t="shared" si="23"/>
        <v>0</v>
      </c>
      <c r="M195" s="164"/>
      <c r="N195" s="164">
        <f t="shared" si="24"/>
        <v>0</v>
      </c>
      <c r="O195" s="164"/>
      <c r="P195" s="164">
        <f t="shared" si="25"/>
        <v>0</v>
      </c>
      <c r="Q195" s="164"/>
      <c r="R195" s="164">
        <f t="shared" si="26"/>
        <v>0</v>
      </c>
      <c r="S195" s="164"/>
      <c r="T195" s="164">
        <f t="shared" si="27"/>
        <v>0</v>
      </c>
    </row>
    <row r="196" spans="1:20" hidden="1" x14ac:dyDescent="0.3">
      <c r="A196" s="162" t="s">
        <v>570</v>
      </c>
      <c r="B196" s="162" t="s">
        <v>571</v>
      </c>
      <c r="C196" s="162" t="s">
        <v>89</v>
      </c>
      <c r="D196" s="162">
        <v>5800</v>
      </c>
      <c r="E196" s="171">
        <v>0</v>
      </c>
      <c r="F196" s="162">
        <f t="shared" si="28"/>
        <v>0</v>
      </c>
      <c r="G196" s="163">
        <v>4</v>
      </c>
      <c r="H196" s="164" t="s">
        <v>572</v>
      </c>
      <c r="I196" s="164" t="s">
        <v>573</v>
      </c>
      <c r="J196" s="163">
        <v>1</v>
      </c>
      <c r="K196" s="164"/>
      <c r="L196" s="164">
        <f t="shared" si="23"/>
        <v>0</v>
      </c>
      <c r="M196" s="164"/>
      <c r="N196" s="164">
        <f t="shared" si="24"/>
        <v>0</v>
      </c>
      <c r="O196" s="164"/>
      <c r="P196" s="164">
        <f t="shared" si="25"/>
        <v>0</v>
      </c>
      <c r="Q196" s="164"/>
      <c r="R196" s="164">
        <f t="shared" si="26"/>
        <v>0</v>
      </c>
      <c r="S196" s="164"/>
      <c r="T196" s="164">
        <f t="shared" si="27"/>
        <v>0</v>
      </c>
    </row>
    <row r="197" spans="1:20" hidden="1" x14ac:dyDescent="0.3">
      <c r="A197" s="162" t="s">
        <v>574</v>
      </c>
      <c r="B197" s="162" t="s">
        <v>575</v>
      </c>
      <c r="C197" s="162" t="s">
        <v>89</v>
      </c>
      <c r="D197" s="162">
        <v>5900</v>
      </c>
      <c r="E197" s="171">
        <v>73</v>
      </c>
      <c r="F197" s="162">
        <f t="shared" si="28"/>
        <v>430700</v>
      </c>
      <c r="G197" s="163">
        <v>4</v>
      </c>
      <c r="H197" s="164" t="s">
        <v>576</v>
      </c>
      <c r="I197" s="164" t="s">
        <v>577</v>
      </c>
      <c r="J197" s="163">
        <v>1</v>
      </c>
      <c r="K197" s="164"/>
      <c r="L197" s="164">
        <f t="shared" si="23"/>
        <v>0</v>
      </c>
      <c r="M197" s="164"/>
      <c r="N197" s="164">
        <f t="shared" si="24"/>
        <v>0</v>
      </c>
      <c r="O197" s="164"/>
      <c r="P197" s="164">
        <f t="shared" si="25"/>
        <v>0</v>
      </c>
      <c r="Q197" s="164"/>
      <c r="R197" s="164">
        <f t="shared" si="26"/>
        <v>0</v>
      </c>
      <c r="S197" s="164"/>
      <c r="T197" s="164">
        <f t="shared" si="27"/>
        <v>0</v>
      </c>
    </row>
    <row r="198" spans="1:20" hidden="1" x14ac:dyDescent="0.3">
      <c r="A198" s="162" t="s">
        <v>578</v>
      </c>
      <c r="B198" s="162" t="s">
        <v>579</v>
      </c>
      <c r="C198" s="162" t="s">
        <v>89</v>
      </c>
      <c r="D198" s="162">
        <v>6000</v>
      </c>
      <c r="E198" s="171">
        <v>15</v>
      </c>
      <c r="F198" s="162">
        <f t="shared" si="28"/>
        <v>90000</v>
      </c>
      <c r="G198" s="163">
        <v>4</v>
      </c>
      <c r="H198" s="164" t="s">
        <v>580</v>
      </c>
      <c r="I198" s="164" t="s">
        <v>581</v>
      </c>
      <c r="J198" s="163">
        <v>1</v>
      </c>
      <c r="K198" s="164"/>
      <c r="L198" s="164">
        <f t="shared" si="23"/>
        <v>0</v>
      </c>
      <c r="M198" s="164"/>
      <c r="N198" s="164">
        <f t="shared" si="24"/>
        <v>0</v>
      </c>
      <c r="O198" s="164"/>
      <c r="P198" s="164">
        <f t="shared" si="25"/>
        <v>0</v>
      </c>
      <c r="Q198" s="164"/>
      <c r="R198" s="164">
        <f t="shared" si="26"/>
        <v>0</v>
      </c>
      <c r="S198" s="164"/>
      <c r="T198" s="164">
        <f t="shared" si="27"/>
        <v>0</v>
      </c>
    </row>
    <row r="199" spans="1:20" hidden="1" x14ac:dyDescent="0.3">
      <c r="A199" s="162" t="s">
        <v>582</v>
      </c>
      <c r="B199" s="162" t="s">
        <v>583</v>
      </c>
      <c r="C199" s="162" t="s">
        <v>89</v>
      </c>
      <c r="D199" s="162">
        <v>6000</v>
      </c>
      <c r="E199" s="171">
        <v>43</v>
      </c>
      <c r="F199" s="162">
        <f t="shared" si="28"/>
        <v>258000</v>
      </c>
      <c r="G199" s="163">
        <v>4</v>
      </c>
      <c r="H199" s="164" t="s">
        <v>584</v>
      </c>
      <c r="I199" s="164" t="s">
        <v>585</v>
      </c>
      <c r="J199" s="163">
        <v>1</v>
      </c>
      <c r="K199" s="164"/>
      <c r="L199" s="164">
        <f t="shared" si="23"/>
        <v>0</v>
      </c>
      <c r="M199" s="164"/>
      <c r="N199" s="164">
        <f t="shared" si="24"/>
        <v>0</v>
      </c>
      <c r="O199" s="164"/>
      <c r="P199" s="164">
        <f t="shared" si="25"/>
        <v>0</v>
      </c>
      <c r="Q199" s="164"/>
      <c r="R199" s="164">
        <f t="shared" si="26"/>
        <v>0</v>
      </c>
      <c r="S199" s="164"/>
      <c r="T199" s="164">
        <f t="shared" si="27"/>
        <v>0</v>
      </c>
    </row>
    <row r="200" spans="1:20" hidden="1" x14ac:dyDescent="0.3">
      <c r="A200" s="162" t="s">
        <v>132</v>
      </c>
      <c r="B200" s="162" t="s">
        <v>586</v>
      </c>
      <c r="C200" s="162" t="s">
        <v>89</v>
      </c>
      <c r="D200" s="162">
        <v>5500</v>
      </c>
      <c r="E200" s="171">
        <v>87</v>
      </c>
      <c r="F200" s="162">
        <f t="shared" si="28"/>
        <v>478500</v>
      </c>
      <c r="G200" s="163">
        <v>4</v>
      </c>
      <c r="H200" s="164" t="s">
        <v>587</v>
      </c>
      <c r="I200" s="164" t="s">
        <v>588</v>
      </c>
      <c r="J200" s="163">
        <v>1</v>
      </c>
      <c r="K200" s="164"/>
      <c r="L200" s="164">
        <f t="shared" si="23"/>
        <v>0</v>
      </c>
      <c r="M200" s="164"/>
      <c r="N200" s="164">
        <f t="shared" si="24"/>
        <v>0</v>
      </c>
      <c r="O200" s="164"/>
      <c r="P200" s="164">
        <f t="shared" si="25"/>
        <v>0</v>
      </c>
      <c r="Q200" s="164"/>
      <c r="R200" s="164">
        <f t="shared" si="26"/>
        <v>0</v>
      </c>
      <c r="S200" s="164"/>
      <c r="T200" s="164">
        <f t="shared" si="27"/>
        <v>0</v>
      </c>
    </row>
    <row r="201" spans="1:20" hidden="1" x14ac:dyDescent="0.3">
      <c r="A201" s="162" t="s">
        <v>589</v>
      </c>
      <c r="B201" s="162" t="s">
        <v>590</v>
      </c>
      <c r="C201" s="162" t="s">
        <v>142</v>
      </c>
      <c r="D201" s="162">
        <v>11000</v>
      </c>
      <c r="E201" s="171">
        <v>85</v>
      </c>
      <c r="F201" s="162">
        <f t="shared" si="28"/>
        <v>935000</v>
      </c>
      <c r="G201" s="163">
        <v>4</v>
      </c>
      <c r="H201" s="164" t="s">
        <v>591</v>
      </c>
      <c r="I201" s="164" t="s">
        <v>592</v>
      </c>
      <c r="J201" s="163">
        <v>1</v>
      </c>
      <c r="K201" s="164"/>
      <c r="L201" s="164">
        <f t="shared" si="23"/>
        <v>0</v>
      </c>
      <c r="M201" s="164"/>
      <c r="N201" s="164">
        <f t="shared" si="24"/>
        <v>0</v>
      </c>
      <c r="O201" s="164"/>
      <c r="P201" s="164">
        <f t="shared" si="25"/>
        <v>0</v>
      </c>
      <c r="Q201" s="164"/>
      <c r="R201" s="164">
        <f t="shared" si="26"/>
        <v>0</v>
      </c>
      <c r="S201" s="164"/>
      <c r="T201" s="164">
        <f t="shared" si="27"/>
        <v>0</v>
      </c>
    </row>
    <row r="202" spans="1:20" x14ac:dyDescent="0.3">
      <c r="G202" s="163">
        <v>4</v>
      </c>
      <c r="H202" s="191" t="s">
        <v>593</v>
      </c>
      <c r="I202" s="164" t="s">
        <v>523</v>
      </c>
      <c r="J202" s="163">
        <v>3</v>
      </c>
      <c r="K202" s="164"/>
      <c r="L202" s="164">
        <f t="shared" si="23"/>
        <v>0</v>
      </c>
      <c r="M202" s="164"/>
      <c r="N202" s="164">
        <f t="shared" si="24"/>
        <v>0</v>
      </c>
      <c r="O202" s="164"/>
      <c r="P202" s="164">
        <f t="shared" si="25"/>
        <v>0</v>
      </c>
      <c r="Q202" s="164"/>
      <c r="R202" s="164">
        <f t="shared" si="26"/>
        <v>0</v>
      </c>
      <c r="S202" s="164"/>
      <c r="T202" s="164">
        <f t="shared" si="27"/>
        <v>0</v>
      </c>
    </row>
    <row r="203" spans="1:20" x14ac:dyDescent="0.3">
      <c r="G203" s="163">
        <v>4</v>
      </c>
      <c r="H203" s="191" t="s">
        <v>594</v>
      </c>
      <c r="I203" s="164" t="s">
        <v>84</v>
      </c>
      <c r="J203" s="163">
        <v>3</v>
      </c>
      <c r="K203" s="164"/>
      <c r="L203" s="164">
        <f t="shared" si="23"/>
        <v>0</v>
      </c>
      <c r="M203" s="164"/>
      <c r="N203" s="164">
        <f t="shared" si="24"/>
        <v>0</v>
      </c>
      <c r="O203" s="164"/>
      <c r="P203" s="164">
        <f t="shared" si="25"/>
        <v>0</v>
      </c>
      <c r="Q203" s="164"/>
      <c r="R203" s="164">
        <f t="shared" si="26"/>
        <v>0</v>
      </c>
      <c r="S203" s="164"/>
      <c r="T203" s="164">
        <f t="shared" si="27"/>
        <v>0</v>
      </c>
    </row>
    <row r="204" spans="1:20" ht="15" thickBot="1" x14ac:dyDescent="0.35">
      <c r="G204" s="175">
        <v>4</v>
      </c>
      <c r="H204" s="192" t="s">
        <v>595</v>
      </c>
      <c r="I204" s="173" t="s">
        <v>519</v>
      </c>
      <c r="J204" s="175">
        <v>3</v>
      </c>
      <c r="K204" s="173"/>
      <c r="L204" s="173">
        <f t="shared" si="23"/>
        <v>0</v>
      </c>
      <c r="M204" s="173"/>
      <c r="N204" s="173">
        <f t="shared" si="24"/>
        <v>0</v>
      </c>
      <c r="O204" s="173"/>
      <c r="P204" s="173">
        <f t="shared" si="25"/>
        <v>0</v>
      </c>
      <c r="Q204" s="173"/>
      <c r="R204" s="173">
        <f t="shared" si="26"/>
        <v>0</v>
      </c>
      <c r="S204" s="173"/>
      <c r="T204" s="173">
        <f t="shared" si="27"/>
        <v>0</v>
      </c>
    </row>
    <row r="205" spans="1:20" s="166" customFormat="1" ht="15" thickTop="1" x14ac:dyDescent="0.3">
      <c r="A205" s="178"/>
      <c r="B205" s="178"/>
      <c r="C205" s="178"/>
      <c r="D205" s="178"/>
      <c r="E205" s="178"/>
      <c r="F205" s="178"/>
      <c r="G205" s="179"/>
      <c r="H205" s="178"/>
      <c r="I205" s="180" t="s">
        <v>596</v>
      </c>
      <c r="J205" s="179"/>
      <c r="K205" s="181"/>
      <c r="L205" s="178">
        <f>SUM(L95:L204)</f>
        <v>0</v>
      </c>
      <c r="M205" s="181"/>
      <c r="N205" s="178">
        <f>SUM(N95:N204)</f>
        <v>0</v>
      </c>
      <c r="O205" s="181"/>
      <c r="P205" s="178">
        <f>SUM(P95:P204)</f>
        <v>0</v>
      </c>
      <c r="Q205" s="181"/>
      <c r="R205" s="178">
        <f>SUM(R95:R204)</f>
        <v>0</v>
      </c>
      <c r="S205" s="181"/>
      <c r="T205" s="178">
        <f>SUM(T95:T204)</f>
        <v>0</v>
      </c>
    </row>
    <row r="206" spans="1:20" x14ac:dyDescent="0.3">
      <c r="I206" s="176"/>
    </row>
    <row r="207" spans="1:20" x14ac:dyDescent="0.3">
      <c r="A207" s="164"/>
      <c r="B207" s="164"/>
      <c r="C207" s="164"/>
      <c r="D207" s="164"/>
      <c r="E207" s="164"/>
      <c r="F207" s="164"/>
      <c r="G207" s="163">
        <v>5</v>
      </c>
      <c r="H207" s="164" t="s">
        <v>597</v>
      </c>
      <c r="I207" s="164" t="s">
        <v>598</v>
      </c>
      <c r="J207" s="163">
        <v>1</v>
      </c>
      <c r="K207" s="164"/>
      <c r="L207" s="164">
        <f t="shared" ref="L207:L249" si="29">J207*K207</f>
        <v>0</v>
      </c>
      <c r="M207" s="164"/>
      <c r="N207" s="164">
        <f t="shared" ref="N207:N249" si="30">J207*M207</f>
        <v>0</v>
      </c>
      <c r="O207" s="164"/>
      <c r="P207" s="164">
        <f t="shared" ref="P207:P249" si="31">J207*O207</f>
        <v>0</v>
      </c>
      <c r="Q207" s="164"/>
      <c r="R207" s="164">
        <f t="shared" ref="R207:R249" si="32">J207*Q207</f>
        <v>0</v>
      </c>
      <c r="S207" s="164"/>
      <c r="T207" s="164">
        <f t="shared" ref="T207:T249" si="33">J207*S207</f>
        <v>0</v>
      </c>
    </row>
    <row r="208" spans="1:20" x14ac:dyDescent="0.3">
      <c r="G208" s="163">
        <v>5</v>
      </c>
      <c r="H208" s="164" t="s">
        <v>599</v>
      </c>
      <c r="I208" s="164" t="s">
        <v>600</v>
      </c>
      <c r="J208" s="163">
        <v>1</v>
      </c>
      <c r="K208" s="164"/>
      <c r="L208" s="164">
        <f t="shared" si="29"/>
        <v>0</v>
      </c>
      <c r="M208" s="164"/>
      <c r="N208" s="164">
        <f t="shared" si="30"/>
        <v>0</v>
      </c>
      <c r="O208" s="164"/>
      <c r="P208" s="164">
        <f t="shared" si="31"/>
        <v>0</v>
      </c>
      <c r="Q208" s="164"/>
      <c r="R208" s="164">
        <f t="shared" si="32"/>
        <v>0</v>
      </c>
      <c r="S208" s="164"/>
      <c r="T208" s="164">
        <f t="shared" si="33"/>
        <v>0</v>
      </c>
    </row>
    <row r="209" spans="7:20" x14ac:dyDescent="0.3">
      <c r="G209" s="163">
        <v>5</v>
      </c>
      <c r="H209" s="164" t="s">
        <v>601</v>
      </c>
      <c r="I209" s="164" t="s">
        <v>602</v>
      </c>
      <c r="J209" s="163">
        <v>1</v>
      </c>
      <c r="K209" s="164"/>
      <c r="L209" s="164">
        <f t="shared" si="29"/>
        <v>0</v>
      </c>
      <c r="M209" s="164"/>
      <c r="N209" s="164">
        <f t="shared" si="30"/>
        <v>0</v>
      </c>
      <c r="O209" s="164"/>
      <c r="P209" s="164">
        <f t="shared" si="31"/>
        <v>0</v>
      </c>
      <c r="Q209" s="164"/>
      <c r="R209" s="164">
        <f t="shared" si="32"/>
        <v>0</v>
      </c>
      <c r="S209" s="164"/>
      <c r="T209" s="164">
        <f t="shared" si="33"/>
        <v>0</v>
      </c>
    </row>
    <row r="210" spans="7:20" x14ac:dyDescent="0.3">
      <c r="G210" s="163">
        <v>5</v>
      </c>
      <c r="H210" s="164" t="s">
        <v>603</v>
      </c>
      <c r="I210" s="164" t="s">
        <v>604</v>
      </c>
      <c r="J210" s="163">
        <v>1</v>
      </c>
      <c r="K210" s="164"/>
      <c r="L210" s="164">
        <f t="shared" si="29"/>
        <v>0</v>
      </c>
      <c r="M210" s="164"/>
      <c r="N210" s="164">
        <f t="shared" si="30"/>
        <v>0</v>
      </c>
      <c r="O210" s="164"/>
      <c r="P210" s="164">
        <f t="shared" si="31"/>
        <v>0</v>
      </c>
      <c r="Q210" s="164"/>
      <c r="R210" s="164">
        <f t="shared" si="32"/>
        <v>0</v>
      </c>
      <c r="S210" s="164"/>
      <c r="T210" s="164">
        <f t="shared" si="33"/>
        <v>0</v>
      </c>
    </row>
    <row r="211" spans="7:20" x14ac:dyDescent="0.3">
      <c r="G211" s="163">
        <v>5</v>
      </c>
      <c r="H211" s="164" t="s">
        <v>605</v>
      </c>
      <c r="I211" s="164" t="s">
        <v>606</v>
      </c>
      <c r="J211" s="163">
        <v>1</v>
      </c>
      <c r="K211" s="164"/>
      <c r="L211" s="164">
        <f t="shared" si="29"/>
        <v>0</v>
      </c>
      <c r="M211" s="164"/>
      <c r="N211" s="164">
        <f t="shared" si="30"/>
        <v>0</v>
      </c>
      <c r="O211" s="164"/>
      <c r="P211" s="164">
        <f t="shared" si="31"/>
        <v>0</v>
      </c>
      <c r="Q211" s="164"/>
      <c r="R211" s="164">
        <f t="shared" si="32"/>
        <v>0</v>
      </c>
      <c r="S211" s="164"/>
      <c r="T211" s="164">
        <f t="shared" si="33"/>
        <v>0</v>
      </c>
    </row>
    <row r="212" spans="7:20" x14ac:dyDescent="0.3">
      <c r="G212" s="163">
        <v>5</v>
      </c>
      <c r="H212" s="164" t="s">
        <v>607</v>
      </c>
      <c r="I212" s="164" t="s">
        <v>608</v>
      </c>
      <c r="J212" s="163">
        <v>1</v>
      </c>
      <c r="K212" s="164"/>
      <c r="L212" s="164">
        <f t="shared" si="29"/>
        <v>0</v>
      </c>
      <c r="M212" s="164"/>
      <c r="N212" s="164">
        <f t="shared" si="30"/>
        <v>0</v>
      </c>
      <c r="O212" s="164"/>
      <c r="P212" s="164">
        <f t="shared" si="31"/>
        <v>0</v>
      </c>
      <c r="Q212" s="164"/>
      <c r="R212" s="164">
        <f t="shared" si="32"/>
        <v>0</v>
      </c>
      <c r="S212" s="164"/>
      <c r="T212" s="164">
        <f t="shared" si="33"/>
        <v>0</v>
      </c>
    </row>
    <row r="213" spans="7:20" x14ac:dyDescent="0.3">
      <c r="G213" s="163">
        <v>5</v>
      </c>
      <c r="H213" s="164" t="s">
        <v>609</v>
      </c>
      <c r="I213" s="164" t="s">
        <v>610</v>
      </c>
      <c r="J213" s="163">
        <v>1</v>
      </c>
      <c r="K213" s="164"/>
      <c r="L213" s="164">
        <f t="shared" si="29"/>
        <v>0</v>
      </c>
      <c r="M213" s="164"/>
      <c r="N213" s="164">
        <f t="shared" si="30"/>
        <v>0</v>
      </c>
      <c r="O213" s="164"/>
      <c r="P213" s="164">
        <f t="shared" si="31"/>
        <v>0</v>
      </c>
      <c r="Q213" s="164"/>
      <c r="R213" s="164">
        <f t="shared" si="32"/>
        <v>0</v>
      </c>
      <c r="S213" s="164"/>
      <c r="T213" s="164">
        <f t="shared" si="33"/>
        <v>0</v>
      </c>
    </row>
    <row r="214" spans="7:20" x14ac:dyDescent="0.3">
      <c r="G214" s="163">
        <v>5</v>
      </c>
      <c r="H214" s="164" t="s">
        <v>611</v>
      </c>
      <c r="I214" s="164" t="s">
        <v>612</v>
      </c>
      <c r="J214" s="163">
        <v>1</v>
      </c>
      <c r="K214" s="164"/>
      <c r="L214" s="164">
        <f t="shared" si="29"/>
        <v>0</v>
      </c>
      <c r="M214" s="164"/>
      <c r="N214" s="164">
        <f t="shared" si="30"/>
        <v>0</v>
      </c>
      <c r="O214" s="164"/>
      <c r="P214" s="164">
        <f t="shared" si="31"/>
        <v>0</v>
      </c>
      <c r="Q214" s="164"/>
      <c r="R214" s="164">
        <f t="shared" si="32"/>
        <v>0</v>
      </c>
      <c r="S214" s="164"/>
      <c r="T214" s="164">
        <f t="shared" si="33"/>
        <v>0</v>
      </c>
    </row>
    <row r="215" spans="7:20" x14ac:dyDescent="0.3">
      <c r="G215" s="163">
        <v>5</v>
      </c>
      <c r="H215" s="164" t="s">
        <v>613</v>
      </c>
      <c r="I215" s="164" t="s">
        <v>614</v>
      </c>
      <c r="J215" s="163">
        <v>1</v>
      </c>
      <c r="K215" s="164"/>
      <c r="L215" s="164">
        <f t="shared" si="29"/>
        <v>0</v>
      </c>
      <c r="M215" s="164"/>
      <c r="N215" s="164">
        <f t="shared" si="30"/>
        <v>0</v>
      </c>
      <c r="O215" s="164"/>
      <c r="P215" s="164">
        <f t="shared" si="31"/>
        <v>0</v>
      </c>
      <c r="Q215" s="164"/>
      <c r="R215" s="164">
        <f t="shared" si="32"/>
        <v>0</v>
      </c>
      <c r="S215" s="164"/>
      <c r="T215" s="164">
        <f t="shared" si="33"/>
        <v>0</v>
      </c>
    </row>
    <row r="216" spans="7:20" x14ac:dyDescent="0.3">
      <c r="G216" s="163">
        <v>5</v>
      </c>
      <c r="H216" s="164" t="s">
        <v>615</v>
      </c>
      <c r="I216" s="164" t="s">
        <v>616</v>
      </c>
      <c r="J216" s="163">
        <v>1</v>
      </c>
      <c r="K216" s="164"/>
      <c r="L216" s="164">
        <f t="shared" si="29"/>
        <v>0</v>
      </c>
      <c r="M216" s="164"/>
      <c r="N216" s="164">
        <f t="shared" si="30"/>
        <v>0</v>
      </c>
      <c r="O216" s="164"/>
      <c r="P216" s="164">
        <f t="shared" si="31"/>
        <v>0</v>
      </c>
      <c r="Q216" s="164"/>
      <c r="R216" s="164">
        <f t="shared" si="32"/>
        <v>0</v>
      </c>
      <c r="S216" s="164"/>
      <c r="T216" s="164">
        <f t="shared" si="33"/>
        <v>0</v>
      </c>
    </row>
    <row r="217" spans="7:20" x14ac:dyDescent="0.3">
      <c r="G217" s="163">
        <v>5</v>
      </c>
      <c r="H217" s="164" t="s">
        <v>617</v>
      </c>
      <c r="I217" s="164" t="s">
        <v>618</v>
      </c>
      <c r="J217" s="163">
        <v>1</v>
      </c>
      <c r="K217" s="164"/>
      <c r="L217" s="164">
        <f t="shared" si="29"/>
        <v>0</v>
      </c>
      <c r="M217" s="164"/>
      <c r="N217" s="164">
        <f t="shared" si="30"/>
        <v>0</v>
      </c>
      <c r="O217" s="164"/>
      <c r="P217" s="164">
        <f t="shared" si="31"/>
        <v>0</v>
      </c>
      <c r="Q217" s="164"/>
      <c r="R217" s="164">
        <f t="shared" si="32"/>
        <v>0</v>
      </c>
      <c r="S217" s="164"/>
      <c r="T217" s="164">
        <f t="shared" si="33"/>
        <v>0</v>
      </c>
    </row>
    <row r="218" spans="7:20" x14ac:dyDescent="0.3">
      <c r="G218" s="163">
        <v>5</v>
      </c>
      <c r="H218" s="164" t="s">
        <v>619</v>
      </c>
      <c r="I218" s="164" t="s">
        <v>620</v>
      </c>
      <c r="J218" s="163">
        <v>1</v>
      </c>
      <c r="K218" s="164"/>
      <c r="L218" s="164">
        <f t="shared" si="29"/>
        <v>0</v>
      </c>
      <c r="M218" s="164"/>
      <c r="N218" s="164">
        <f t="shared" si="30"/>
        <v>0</v>
      </c>
      <c r="O218" s="164"/>
      <c r="P218" s="164">
        <f t="shared" si="31"/>
        <v>0</v>
      </c>
      <c r="Q218" s="164"/>
      <c r="R218" s="164">
        <f t="shared" si="32"/>
        <v>0</v>
      </c>
      <c r="S218" s="164"/>
      <c r="T218" s="164">
        <f t="shared" si="33"/>
        <v>0</v>
      </c>
    </row>
    <row r="219" spans="7:20" x14ac:dyDescent="0.3">
      <c r="G219" s="163">
        <v>5</v>
      </c>
      <c r="H219" s="164" t="s">
        <v>621</v>
      </c>
      <c r="I219" s="164" t="s">
        <v>622</v>
      </c>
      <c r="J219" s="163">
        <v>1</v>
      </c>
      <c r="K219" s="164"/>
      <c r="L219" s="164">
        <f t="shared" si="29"/>
        <v>0</v>
      </c>
      <c r="M219" s="164"/>
      <c r="N219" s="164">
        <f t="shared" si="30"/>
        <v>0</v>
      </c>
      <c r="O219" s="164"/>
      <c r="P219" s="164">
        <f t="shared" si="31"/>
        <v>0</v>
      </c>
      <c r="Q219" s="164"/>
      <c r="R219" s="164">
        <f t="shared" si="32"/>
        <v>0</v>
      </c>
      <c r="S219" s="164"/>
      <c r="T219" s="164">
        <f t="shared" si="33"/>
        <v>0</v>
      </c>
    </row>
    <row r="220" spans="7:20" x14ac:dyDescent="0.3">
      <c r="G220" s="163">
        <v>5</v>
      </c>
      <c r="H220" s="164" t="s">
        <v>623</v>
      </c>
      <c r="I220" s="164" t="s">
        <v>624</v>
      </c>
      <c r="J220" s="163">
        <v>1</v>
      </c>
      <c r="K220" s="164"/>
      <c r="L220" s="164">
        <f t="shared" si="29"/>
        <v>0</v>
      </c>
      <c r="M220" s="164"/>
      <c r="N220" s="164">
        <f t="shared" si="30"/>
        <v>0</v>
      </c>
      <c r="O220" s="164"/>
      <c r="P220" s="164">
        <f t="shared" si="31"/>
        <v>0</v>
      </c>
      <c r="Q220" s="164"/>
      <c r="R220" s="164">
        <f t="shared" si="32"/>
        <v>0</v>
      </c>
      <c r="S220" s="164"/>
      <c r="T220" s="164">
        <f t="shared" si="33"/>
        <v>0</v>
      </c>
    </row>
    <row r="221" spans="7:20" x14ac:dyDescent="0.3">
      <c r="G221" s="163">
        <v>5</v>
      </c>
      <c r="H221" s="164" t="s">
        <v>625</v>
      </c>
      <c r="I221" s="164" t="s">
        <v>626</v>
      </c>
      <c r="J221" s="163">
        <v>1</v>
      </c>
      <c r="K221" s="164"/>
      <c r="L221" s="164">
        <f t="shared" si="29"/>
        <v>0</v>
      </c>
      <c r="M221" s="164"/>
      <c r="N221" s="164">
        <f t="shared" si="30"/>
        <v>0</v>
      </c>
      <c r="O221" s="164"/>
      <c r="P221" s="164">
        <f t="shared" si="31"/>
        <v>0</v>
      </c>
      <c r="Q221" s="164"/>
      <c r="R221" s="164">
        <f t="shared" si="32"/>
        <v>0</v>
      </c>
      <c r="S221" s="164"/>
      <c r="T221" s="164">
        <f t="shared" si="33"/>
        <v>0</v>
      </c>
    </row>
    <row r="222" spans="7:20" x14ac:dyDescent="0.3">
      <c r="G222" s="163">
        <v>5</v>
      </c>
      <c r="H222" s="164" t="s">
        <v>627</v>
      </c>
      <c r="I222" s="164" t="s">
        <v>628</v>
      </c>
      <c r="J222" s="163">
        <v>1</v>
      </c>
      <c r="K222" s="164"/>
      <c r="L222" s="164">
        <f t="shared" si="29"/>
        <v>0</v>
      </c>
      <c r="M222" s="164"/>
      <c r="N222" s="164">
        <f t="shared" si="30"/>
        <v>0</v>
      </c>
      <c r="O222" s="164"/>
      <c r="P222" s="164">
        <f t="shared" si="31"/>
        <v>0</v>
      </c>
      <c r="Q222" s="164"/>
      <c r="R222" s="164">
        <f t="shared" si="32"/>
        <v>0</v>
      </c>
      <c r="S222" s="164"/>
      <c r="T222" s="164">
        <f t="shared" si="33"/>
        <v>0</v>
      </c>
    </row>
    <row r="223" spans="7:20" x14ac:dyDescent="0.3">
      <c r="G223" s="163">
        <v>5</v>
      </c>
      <c r="H223" s="164" t="s">
        <v>629</v>
      </c>
      <c r="I223" s="164" t="s">
        <v>630</v>
      </c>
      <c r="J223" s="163">
        <v>1</v>
      </c>
      <c r="K223" s="164"/>
      <c r="L223" s="164">
        <f t="shared" si="29"/>
        <v>0</v>
      </c>
      <c r="M223" s="164"/>
      <c r="N223" s="164">
        <f t="shared" si="30"/>
        <v>0</v>
      </c>
      <c r="O223" s="164"/>
      <c r="P223" s="164">
        <f t="shared" si="31"/>
        <v>0</v>
      </c>
      <c r="Q223" s="164"/>
      <c r="R223" s="164">
        <f t="shared" si="32"/>
        <v>0</v>
      </c>
      <c r="S223" s="164"/>
      <c r="T223" s="164">
        <f t="shared" si="33"/>
        <v>0</v>
      </c>
    </row>
    <row r="224" spans="7:20" x14ac:dyDescent="0.3">
      <c r="G224" s="163">
        <v>5</v>
      </c>
      <c r="H224" s="164" t="s">
        <v>631</v>
      </c>
      <c r="I224" s="164" t="s">
        <v>632</v>
      </c>
      <c r="J224" s="163">
        <v>1</v>
      </c>
      <c r="K224" s="164"/>
      <c r="L224" s="164">
        <f t="shared" si="29"/>
        <v>0</v>
      </c>
      <c r="M224" s="164"/>
      <c r="N224" s="164">
        <f t="shared" si="30"/>
        <v>0</v>
      </c>
      <c r="O224" s="164"/>
      <c r="P224" s="164">
        <f t="shared" si="31"/>
        <v>0</v>
      </c>
      <c r="Q224" s="164"/>
      <c r="R224" s="164">
        <f t="shared" si="32"/>
        <v>0</v>
      </c>
      <c r="S224" s="164"/>
      <c r="T224" s="164">
        <f t="shared" si="33"/>
        <v>0</v>
      </c>
    </row>
    <row r="225" spans="7:22" x14ac:dyDescent="0.3">
      <c r="G225" s="163">
        <v>5</v>
      </c>
      <c r="H225" s="164" t="s">
        <v>633</v>
      </c>
      <c r="I225" s="164" t="s">
        <v>176</v>
      </c>
      <c r="J225" s="163">
        <v>1</v>
      </c>
      <c r="K225" s="164"/>
      <c r="L225" s="164">
        <f t="shared" si="29"/>
        <v>0</v>
      </c>
      <c r="M225" s="164"/>
      <c r="N225" s="164">
        <f t="shared" si="30"/>
        <v>0</v>
      </c>
      <c r="O225" s="164"/>
      <c r="P225" s="164">
        <f t="shared" si="31"/>
        <v>0</v>
      </c>
      <c r="Q225" s="164"/>
      <c r="R225" s="164">
        <f t="shared" si="32"/>
        <v>0</v>
      </c>
      <c r="S225" s="164"/>
      <c r="T225" s="164">
        <f t="shared" si="33"/>
        <v>0</v>
      </c>
    </row>
    <row r="226" spans="7:22" x14ac:dyDescent="0.3">
      <c r="G226" s="163">
        <v>5</v>
      </c>
      <c r="H226" s="164" t="s">
        <v>634</v>
      </c>
      <c r="I226" s="164" t="s">
        <v>635</v>
      </c>
      <c r="J226" s="163">
        <v>1</v>
      </c>
      <c r="K226" s="164"/>
      <c r="L226" s="164">
        <f t="shared" si="29"/>
        <v>0</v>
      </c>
      <c r="M226" s="164"/>
      <c r="N226" s="164">
        <f t="shared" si="30"/>
        <v>0</v>
      </c>
      <c r="O226" s="164"/>
      <c r="P226" s="164">
        <f t="shared" si="31"/>
        <v>0</v>
      </c>
      <c r="Q226" s="164"/>
      <c r="R226" s="164">
        <f t="shared" si="32"/>
        <v>0</v>
      </c>
      <c r="S226" s="164"/>
      <c r="T226" s="164">
        <f t="shared" si="33"/>
        <v>0</v>
      </c>
    </row>
    <row r="227" spans="7:22" x14ac:dyDescent="0.3">
      <c r="G227" s="163">
        <v>5</v>
      </c>
      <c r="H227" s="164" t="s">
        <v>636</v>
      </c>
      <c r="I227" s="164" t="s">
        <v>637</v>
      </c>
      <c r="J227" s="163">
        <v>1</v>
      </c>
      <c r="K227" s="164"/>
      <c r="L227" s="164">
        <f t="shared" si="29"/>
        <v>0</v>
      </c>
      <c r="M227" s="164"/>
      <c r="N227" s="164">
        <f t="shared" si="30"/>
        <v>0</v>
      </c>
      <c r="O227" s="164"/>
      <c r="P227" s="164">
        <f t="shared" si="31"/>
        <v>0</v>
      </c>
      <c r="Q227" s="164"/>
      <c r="R227" s="164">
        <f t="shared" si="32"/>
        <v>0</v>
      </c>
      <c r="S227" s="164"/>
      <c r="T227" s="164">
        <f t="shared" si="33"/>
        <v>0</v>
      </c>
    </row>
    <row r="228" spans="7:22" x14ac:dyDescent="0.3">
      <c r="G228" s="163">
        <v>5</v>
      </c>
      <c r="H228" s="164" t="s">
        <v>638</v>
      </c>
      <c r="I228" s="164" t="s">
        <v>639</v>
      </c>
      <c r="J228" s="163">
        <v>1</v>
      </c>
      <c r="K228" s="164"/>
      <c r="L228" s="164">
        <f t="shared" si="29"/>
        <v>0</v>
      </c>
      <c r="M228" s="164"/>
      <c r="N228" s="164">
        <f t="shared" si="30"/>
        <v>0</v>
      </c>
      <c r="O228" s="164"/>
      <c r="P228" s="164">
        <f t="shared" si="31"/>
        <v>0</v>
      </c>
      <c r="Q228" s="164"/>
      <c r="R228" s="164">
        <f t="shared" si="32"/>
        <v>0</v>
      </c>
      <c r="S228" s="164"/>
      <c r="T228" s="164">
        <f t="shared" si="33"/>
        <v>0</v>
      </c>
    </row>
    <row r="229" spans="7:22" x14ac:dyDescent="0.3">
      <c r="G229" s="163">
        <v>5</v>
      </c>
      <c r="H229" s="164" t="s">
        <v>640</v>
      </c>
      <c r="I229" s="164" t="s">
        <v>641</v>
      </c>
      <c r="J229" s="163">
        <v>1</v>
      </c>
      <c r="K229" s="164"/>
      <c r="L229" s="164">
        <f t="shared" si="29"/>
        <v>0</v>
      </c>
      <c r="M229" s="164"/>
      <c r="N229" s="164">
        <f t="shared" si="30"/>
        <v>0</v>
      </c>
      <c r="O229" s="164"/>
      <c r="P229" s="164">
        <f t="shared" si="31"/>
        <v>0</v>
      </c>
      <c r="Q229" s="164"/>
      <c r="R229" s="164">
        <f t="shared" si="32"/>
        <v>0</v>
      </c>
      <c r="S229" s="164"/>
      <c r="T229" s="164">
        <f t="shared" si="33"/>
        <v>0</v>
      </c>
    </row>
    <row r="230" spans="7:22" x14ac:dyDescent="0.3">
      <c r="G230" s="163">
        <v>5</v>
      </c>
      <c r="H230" s="164" t="s">
        <v>642</v>
      </c>
      <c r="I230" s="164" t="s">
        <v>643</v>
      </c>
      <c r="J230" s="163">
        <v>1</v>
      </c>
      <c r="K230" s="164"/>
      <c r="L230" s="164">
        <f t="shared" si="29"/>
        <v>0</v>
      </c>
      <c r="M230" s="164"/>
      <c r="N230" s="164">
        <f t="shared" si="30"/>
        <v>0</v>
      </c>
      <c r="O230" s="164"/>
      <c r="P230" s="164">
        <f t="shared" si="31"/>
        <v>0</v>
      </c>
      <c r="Q230" s="164"/>
      <c r="R230" s="164">
        <f t="shared" si="32"/>
        <v>0</v>
      </c>
      <c r="S230" s="164"/>
      <c r="T230" s="164">
        <f t="shared" si="33"/>
        <v>0</v>
      </c>
    </row>
    <row r="231" spans="7:22" x14ac:dyDescent="0.3">
      <c r="G231" s="163">
        <v>5</v>
      </c>
      <c r="H231" s="164" t="s">
        <v>644</v>
      </c>
      <c r="I231" s="164" t="s">
        <v>645</v>
      </c>
      <c r="J231" s="163">
        <v>1</v>
      </c>
      <c r="K231" s="164"/>
      <c r="L231" s="164">
        <f t="shared" si="29"/>
        <v>0</v>
      </c>
      <c r="M231" s="164"/>
      <c r="N231" s="164">
        <f t="shared" si="30"/>
        <v>0</v>
      </c>
      <c r="O231" s="164"/>
      <c r="P231" s="164">
        <f t="shared" si="31"/>
        <v>0</v>
      </c>
      <c r="Q231" s="164"/>
      <c r="R231" s="164">
        <f t="shared" si="32"/>
        <v>0</v>
      </c>
      <c r="S231" s="164"/>
      <c r="T231" s="164">
        <f t="shared" si="33"/>
        <v>0</v>
      </c>
    </row>
    <row r="232" spans="7:22" x14ac:dyDescent="0.3">
      <c r="G232" s="163">
        <v>5</v>
      </c>
      <c r="H232" s="164" t="s">
        <v>646</v>
      </c>
      <c r="I232" s="164" t="s">
        <v>647</v>
      </c>
      <c r="J232" s="163">
        <v>1</v>
      </c>
      <c r="K232" s="164"/>
      <c r="L232" s="164">
        <f t="shared" si="29"/>
        <v>0</v>
      </c>
      <c r="M232" s="164"/>
      <c r="N232" s="164">
        <f t="shared" si="30"/>
        <v>0</v>
      </c>
      <c r="O232" s="164"/>
      <c r="P232" s="164">
        <f t="shared" si="31"/>
        <v>0</v>
      </c>
      <c r="Q232" s="164"/>
      <c r="R232" s="164">
        <f t="shared" si="32"/>
        <v>0</v>
      </c>
      <c r="S232" s="164"/>
      <c r="T232" s="164">
        <f t="shared" si="33"/>
        <v>0</v>
      </c>
    </row>
    <row r="233" spans="7:22" x14ac:dyDescent="0.3">
      <c r="G233" s="163">
        <v>5</v>
      </c>
      <c r="H233" s="164" t="s">
        <v>648</v>
      </c>
      <c r="I233" s="164" t="s">
        <v>649</v>
      </c>
      <c r="J233" s="163">
        <v>1</v>
      </c>
      <c r="K233" s="164"/>
      <c r="L233" s="164">
        <f t="shared" si="29"/>
        <v>0</v>
      </c>
      <c r="M233" s="164"/>
      <c r="N233" s="164">
        <f t="shared" si="30"/>
        <v>0</v>
      </c>
      <c r="O233" s="164"/>
      <c r="P233" s="164">
        <f t="shared" si="31"/>
        <v>0</v>
      </c>
      <c r="Q233" s="164"/>
      <c r="R233" s="164">
        <f t="shared" si="32"/>
        <v>0</v>
      </c>
      <c r="S233" s="164"/>
      <c r="T233" s="164">
        <f t="shared" si="33"/>
        <v>0</v>
      </c>
    </row>
    <row r="234" spans="7:22" x14ac:dyDescent="0.3">
      <c r="G234" s="163">
        <v>5</v>
      </c>
      <c r="H234" s="164" t="s">
        <v>650</v>
      </c>
      <c r="I234" s="164" t="s">
        <v>651</v>
      </c>
      <c r="J234" s="163">
        <v>1</v>
      </c>
      <c r="K234" s="164"/>
      <c r="L234" s="164">
        <f t="shared" si="29"/>
        <v>0</v>
      </c>
      <c r="M234" s="164"/>
      <c r="N234" s="164">
        <f t="shared" si="30"/>
        <v>0</v>
      </c>
      <c r="O234" s="164"/>
      <c r="P234" s="164">
        <f t="shared" si="31"/>
        <v>0</v>
      </c>
      <c r="Q234" s="164"/>
      <c r="R234" s="164">
        <f t="shared" si="32"/>
        <v>0</v>
      </c>
      <c r="S234" s="164"/>
      <c r="T234" s="164">
        <f t="shared" si="33"/>
        <v>0</v>
      </c>
    </row>
    <row r="235" spans="7:22" x14ac:dyDescent="0.3">
      <c r="G235" s="163">
        <v>5</v>
      </c>
      <c r="H235" s="164" t="s">
        <v>652</v>
      </c>
      <c r="I235" s="164" t="s">
        <v>653</v>
      </c>
      <c r="J235" s="163">
        <v>1</v>
      </c>
      <c r="K235" s="164"/>
      <c r="L235" s="164">
        <f t="shared" si="29"/>
        <v>0</v>
      </c>
      <c r="M235" s="164"/>
      <c r="N235" s="164">
        <f t="shared" si="30"/>
        <v>0</v>
      </c>
      <c r="O235" s="164"/>
      <c r="P235" s="164">
        <f t="shared" si="31"/>
        <v>0</v>
      </c>
      <c r="Q235" s="164"/>
      <c r="R235" s="164">
        <f t="shared" si="32"/>
        <v>0</v>
      </c>
      <c r="S235" s="164"/>
      <c r="T235" s="164">
        <f t="shared" si="33"/>
        <v>0</v>
      </c>
    </row>
    <row r="236" spans="7:22" x14ac:dyDescent="0.3">
      <c r="G236" s="163">
        <v>5</v>
      </c>
      <c r="H236" s="164" t="s">
        <v>654</v>
      </c>
      <c r="I236" s="164" t="s">
        <v>655</v>
      </c>
      <c r="J236" s="163">
        <v>1</v>
      </c>
      <c r="K236" s="164"/>
      <c r="L236" s="164">
        <f t="shared" si="29"/>
        <v>0</v>
      </c>
      <c r="M236" s="164"/>
      <c r="N236" s="164">
        <f t="shared" si="30"/>
        <v>0</v>
      </c>
      <c r="O236" s="164"/>
      <c r="P236" s="164">
        <f t="shared" si="31"/>
        <v>0</v>
      </c>
      <c r="Q236" s="164"/>
      <c r="R236" s="164">
        <f t="shared" si="32"/>
        <v>0</v>
      </c>
      <c r="S236" s="164"/>
      <c r="T236" s="164">
        <f t="shared" si="33"/>
        <v>0</v>
      </c>
    </row>
    <row r="237" spans="7:22" x14ac:dyDescent="0.3">
      <c r="G237" s="163">
        <v>5</v>
      </c>
      <c r="H237" s="164" t="s">
        <v>656</v>
      </c>
      <c r="I237" s="164" t="s">
        <v>657</v>
      </c>
      <c r="J237" s="163">
        <v>1</v>
      </c>
      <c r="K237" s="164"/>
      <c r="L237" s="164">
        <f t="shared" si="29"/>
        <v>0</v>
      </c>
      <c r="M237" s="164"/>
      <c r="N237" s="164">
        <f t="shared" si="30"/>
        <v>0</v>
      </c>
      <c r="O237" s="164"/>
      <c r="P237" s="164">
        <f t="shared" si="31"/>
        <v>0</v>
      </c>
      <c r="Q237" s="164"/>
      <c r="R237" s="164">
        <f t="shared" si="32"/>
        <v>0</v>
      </c>
      <c r="S237" s="164"/>
      <c r="T237" s="164">
        <f t="shared" si="33"/>
        <v>0</v>
      </c>
    </row>
    <row r="238" spans="7:22" x14ac:dyDescent="0.3">
      <c r="G238" s="163">
        <v>5</v>
      </c>
      <c r="H238" s="164" t="s">
        <v>658</v>
      </c>
      <c r="I238" s="164" t="s">
        <v>659</v>
      </c>
      <c r="J238" s="163">
        <v>1</v>
      </c>
      <c r="K238" s="164"/>
      <c r="L238" s="164">
        <f t="shared" si="29"/>
        <v>0</v>
      </c>
      <c r="M238" s="164"/>
      <c r="N238" s="164">
        <f t="shared" si="30"/>
        <v>0</v>
      </c>
      <c r="O238" s="164"/>
      <c r="P238" s="164">
        <f t="shared" si="31"/>
        <v>0</v>
      </c>
      <c r="Q238" s="164"/>
      <c r="R238" s="164">
        <f t="shared" si="32"/>
        <v>0</v>
      </c>
      <c r="S238" s="164"/>
      <c r="T238" s="164">
        <f t="shared" si="33"/>
        <v>0</v>
      </c>
    </row>
    <row r="239" spans="7:22" x14ac:dyDescent="0.3">
      <c r="G239" s="163">
        <v>5</v>
      </c>
      <c r="H239" s="164" t="s">
        <v>660</v>
      </c>
      <c r="I239" s="164" t="s">
        <v>661</v>
      </c>
      <c r="J239" s="163">
        <v>1</v>
      </c>
      <c r="K239" s="164"/>
      <c r="L239" s="164">
        <f t="shared" si="29"/>
        <v>0</v>
      </c>
      <c r="M239" s="164"/>
      <c r="N239" s="164">
        <f t="shared" si="30"/>
        <v>0</v>
      </c>
      <c r="O239" s="164"/>
      <c r="P239" s="164">
        <f t="shared" si="31"/>
        <v>0</v>
      </c>
      <c r="Q239" s="164"/>
      <c r="R239" s="164">
        <f t="shared" si="32"/>
        <v>0</v>
      </c>
      <c r="S239" s="164"/>
      <c r="T239" s="164">
        <f t="shared" si="33"/>
        <v>0</v>
      </c>
      <c r="V239" s="193" t="s">
        <v>662</v>
      </c>
    </row>
    <row r="240" spans="7:22" x14ac:dyDescent="0.3">
      <c r="G240" s="163">
        <v>5</v>
      </c>
      <c r="H240" s="164" t="s">
        <v>663</v>
      </c>
      <c r="I240" s="164" t="s">
        <v>664</v>
      </c>
      <c r="J240" s="163">
        <v>1</v>
      </c>
      <c r="K240" s="164"/>
      <c r="L240" s="164">
        <f t="shared" si="29"/>
        <v>0</v>
      </c>
      <c r="M240" s="164"/>
      <c r="N240" s="164">
        <f t="shared" si="30"/>
        <v>0</v>
      </c>
      <c r="O240" s="164"/>
      <c r="P240" s="164">
        <f t="shared" si="31"/>
        <v>0</v>
      </c>
      <c r="Q240" s="164"/>
      <c r="R240" s="164">
        <f t="shared" si="32"/>
        <v>0</v>
      </c>
      <c r="S240" s="164"/>
      <c r="T240" s="164">
        <f t="shared" si="33"/>
        <v>0</v>
      </c>
    </row>
    <row r="241" spans="1:20" x14ac:dyDescent="0.3">
      <c r="G241" s="163">
        <v>5</v>
      </c>
      <c r="H241" s="164" t="s">
        <v>665</v>
      </c>
      <c r="I241" s="164" t="s">
        <v>123</v>
      </c>
      <c r="J241" s="163">
        <v>1</v>
      </c>
      <c r="K241" s="164"/>
      <c r="L241" s="164">
        <f t="shared" si="29"/>
        <v>0</v>
      </c>
      <c r="M241" s="164"/>
      <c r="N241" s="164">
        <f t="shared" si="30"/>
        <v>0</v>
      </c>
      <c r="O241" s="164"/>
      <c r="P241" s="164">
        <f t="shared" si="31"/>
        <v>0</v>
      </c>
      <c r="Q241" s="164"/>
      <c r="R241" s="164">
        <f t="shared" si="32"/>
        <v>0</v>
      </c>
      <c r="S241" s="164"/>
      <c r="T241" s="164">
        <f t="shared" si="33"/>
        <v>0</v>
      </c>
    </row>
    <row r="242" spans="1:20" x14ac:dyDescent="0.3">
      <c r="G242" s="163">
        <v>5</v>
      </c>
      <c r="H242" s="164" t="s">
        <v>666</v>
      </c>
      <c r="I242" s="164" t="s">
        <v>667</v>
      </c>
      <c r="J242" s="163">
        <v>1</v>
      </c>
      <c r="K242" s="164"/>
      <c r="L242" s="164">
        <f t="shared" si="29"/>
        <v>0</v>
      </c>
      <c r="M242" s="164"/>
      <c r="N242" s="164">
        <f t="shared" si="30"/>
        <v>0</v>
      </c>
      <c r="O242" s="164"/>
      <c r="P242" s="164">
        <f t="shared" si="31"/>
        <v>0</v>
      </c>
      <c r="Q242" s="164"/>
      <c r="R242" s="164">
        <f t="shared" si="32"/>
        <v>0</v>
      </c>
      <c r="S242" s="164"/>
      <c r="T242" s="164">
        <f t="shared" si="33"/>
        <v>0</v>
      </c>
    </row>
    <row r="243" spans="1:20" x14ac:dyDescent="0.3">
      <c r="G243" s="163">
        <v>5</v>
      </c>
      <c r="H243" s="164" t="s">
        <v>668</v>
      </c>
      <c r="I243" s="164" t="s">
        <v>669</v>
      </c>
      <c r="J243" s="163">
        <v>1</v>
      </c>
      <c r="K243" s="164"/>
      <c r="L243" s="164">
        <f t="shared" si="29"/>
        <v>0</v>
      </c>
      <c r="M243" s="164"/>
      <c r="N243" s="164">
        <f t="shared" si="30"/>
        <v>0</v>
      </c>
      <c r="O243" s="164"/>
      <c r="P243" s="164">
        <f t="shared" si="31"/>
        <v>0</v>
      </c>
      <c r="Q243" s="164"/>
      <c r="R243" s="164">
        <f t="shared" si="32"/>
        <v>0</v>
      </c>
      <c r="S243" s="164"/>
      <c r="T243" s="164">
        <f t="shared" si="33"/>
        <v>0</v>
      </c>
    </row>
    <row r="244" spans="1:20" x14ac:dyDescent="0.3">
      <c r="G244" s="163">
        <v>5</v>
      </c>
      <c r="H244" s="164" t="s">
        <v>670</v>
      </c>
      <c r="I244" s="164" t="s">
        <v>671</v>
      </c>
      <c r="J244" s="163">
        <v>1</v>
      </c>
      <c r="K244" s="164"/>
      <c r="L244" s="164">
        <f t="shared" si="29"/>
        <v>0</v>
      </c>
      <c r="M244" s="164"/>
      <c r="N244" s="164">
        <f t="shared" si="30"/>
        <v>0</v>
      </c>
      <c r="O244" s="164"/>
      <c r="P244" s="164">
        <f t="shared" si="31"/>
        <v>0</v>
      </c>
      <c r="Q244" s="164"/>
      <c r="R244" s="164">
        <f t="shared" si="32"/>
        <v>0</v>
      </c>
      <c r="S244" s="164"/>
      <c r="T244" s="164">
        <f t="shared" si="33"/>
        <v>0</v>
      </c>
    </row>
    <row r="245" spans="1:20" x14ac:dyDescent="0.3">
      <c r="G245" s="163">
        <v>5</v>
      </c>
      <c r="H245" s="164" t="s">
        <v>672</v>
      </c>
      <c r="I245" s="164" t="s">
        <v>673</v>
      </c>
      <c r="J245" s="163">
        <v>1</v>
      </c>
      <c r="K245" s="164"/>
      <c r="L245" s="164">
        <f t="shared" si="29"/>
        <v>0</v>
      </c>
      <c r="M245" s="164"/>
      <c r="N245" s="164">
        <f t="shared" si="30"/>
        <v>0</v>
      </c>
      <c r="O245" s="164"/>
      <c r="P245" s="164">
        <f t="shared" si="31"/>
        <v>0</v>
      </c>
      <c r="Q245" s="164"/>
      <c r="R245" s="164">
        <f t="shared" si="32"/>
        <v>0</v>
      </c>
      <c r="S245" s="164"/>
      <c r="T245" s="164">
        <f t="shared" si="33"/>
        <v>0</v>
      </c>
    </row>
    <row r="246" spans="1:20" x14ac:dyDescent="0.3">
      <c r="G246" s="163">
        <v>5</v>
      </c>
      <c r="H246" s="164" t="s">
        <v>674</v>
      </c>
      <c r="I246" s="164" t="s">
        <v>675</v>
      </c>
      <c r="J246" s="163">
        <v>1</v>
      </c>
      <c r="K246" s="164"/>
      <c r="L246" s="164">
        <f t="shared" si="29"/>
        <v>0</v>
      </c>
      <c r="M246" s="164"/>
      <c r="N246" s="164">
        <f t="shared" si="30"/>
        <v>0</v>
      </c>
      <c r="O246" s="164"/>
      <c r="P246" s="164">
        <f t="shared" si="31"/>
        <v>0</v>
      </c>
      <c r="Q246" s="164"/>
      <c r="R246" s="164">
        <f t="shared" si="32"/>
        <v>0</v>
      </c>
      <c r="S246" s="164"/>
      <c r="T246" s="164">
        <f t="shared" si="33"/>
        <v>0</v>
      </c>
    </row>
    <row r="247" spans="1:20" x14ac:dyDescent="0.3">
      <c r="G247" s="163">
        <v>5</v>
      </c>
      <c r="H247" s="164" t="s">
        <v>676</v>
      </c>
      <c r="I247" s="164" t="s">
        <v>677</v>
      </c>
      <c r="J247" s="163">
        <v>1</v>
      </c>
      <c r="K247" s="164"/>
      <c r="L247" s="164">
        <f t="shared" si="29"/>
        <v>0</v>
      </c>
      <c r="M247" s="164"/>
      <c r="N247" s="164">
        <f t="shared" si="30"/>
        <v>0</v>
      </c>
      <c r="O247" s="164"/>
      <c r="P247" s="164">
        <f t="shared" si="31"/>
        <v>0</v>
      </c>
      <c r="Q247" s="164"/>
      <c r="R247" s="164">
        <f t="shared" si="32"/>
        <v>0</v>
      </c>
      <c r="S247" s="164"/>
      <c r="T247" s="164">
        <f t="shared" si="33"/>
        <v>0</v>
      </c>
    </row>
    <row r="248" spans="1:20" x14ac:dyDescent="0.3">
      <c r="G248" s="163">
        <v>5</v>
      </c>
      <c r="H248" s="164" t="s">
        <v>678</v>
      </c>
      <c r="I248" s="164" t="s">
        <v>679</v>
      </c>
      <c r="J248" s="163">
        <v>1</v>
      </c>
      <c r="K248" s="164"/>
      <c r="L248" s="164">
        <f t="shared" si="29"/>
        <v>0</v>
      </c>
      <c r="M248" s="164"/>
      <c r="N248" s="164">
        <f t="shared" si="30"/>
        <v>0</v>
      </c>
      <c r="O248" s="164"/>
      <c r="P248" s="164">
        <f t="shared" si="31"/>
        <v>0</v>
      </c>
      <c r="Q248" s="164"/>
      <c r="R248" s="164">
        <f t="shared" si="32"/>
        <v>0</v>
      </c>
      <c r="S248" s="164"/>
      <c r="T248" s="164">
        <f t="shared" si="33"/>
        <v>0</v>
      </c>
    </row>
    <row r="249" spans="1:20" ht="15" thickBot="1" x14ac:dyDescent="0.35">
      <c r="G249" s="175">
        <v>5</v>
      </c>
      <c r="H249" s="173" t="s">
        <v>680</v>
      </c>
      <c r="I249" s="173" t="s">
        <v>681</v>
      </c>
      <c r="J249" s="175">
        <v>1</v>
      </c>
      <c r="K249" s="173"/>
      <c r="L249" s="173">
        <f t="shared" si="29"/>
        <v>0</v>
      </c>
      <c r="M249" s="173"/>
      <c r="N249" s="173">
        <f t="shared" si="30"/>
        <v>0</v>
      </c>
      <c r="O249" s="173"/>
      <c r="P249" s="173">
        <f t="shared" si="31"/>
        <v>0</v>
      </c>
      <c r="Q249" s="173"/>
      <c r="R249" s="173">
        <f t="shared" si="32"/>
        <v>0</v>
      </c>
      <c r="S249" s="173"/>
      <c r="T249" s="173">
        <f t="shared" si="33"/>
        <v>0</v>
      </c>
    </row>
    <row r="250" spans="1:20" s="166" customFormat="1" ht="15" thickTop="1" x14ac:dyDescent="0.3">
      <c r="A250" s="162" t="s">
        <v>648</v>
      </c>
      <c r="B250" s="162" t="s">
        <v>649</v>
      </c>
      <c r="G250" s="179"/>
      <c r="H250" s="178"/>
      <c r="I250" s="180" t="s">
        <v>682</v>
      </c>
      <c r="J250" s="179"/>
      <c r="K250" s="181"/>
      <c r="L250" s="178">
        <f>SUM(L207:L249)</f>
        <v>0</v>
      </c>
      <c r="M250" s="181"/>
      <c r="N250" s="178">
        <f>SUM(N207:N249)</f>
        <v>0</v>
      </c>
      <c r="O250" s="181"/>
      <c r="P250" s="178">
        <f>SUM(P207:P249)</f>
        <v>0</v>
      </c>
      <c r="Q250" s="181"/>
      <c r="R250" s="178">
        <f>SUM(R207:R249)</f>
        <v>0</v>
      </c>
      <c r="S250" s="181"/>
      <c r="T250" s="178">
        <f>SUM(T207:T249)</f>
        <v>0</v>
      </c>
    </row>
    <row r="251" spans="1:20" x14ac:dyDescent="0.3">
      <c r="I251" s="176"/>
    </row>
    <row r="252" spans="1:20" x14ac:dyDescent="0.3">
      <c r="A252" s="162" t="s">
        <v>654</v>
      </c>
      <c r="B252" s="162" t="s">
        <v>655</v>
      </c>
    </row>
    <row r="253" spans="1:20" x14ac:dyDescent="0.3">
      <c r="A253" s="162" t="s">
        <v>656</v>
      </c>
      <c r="B253" s="162" t="s">
        <v>657</v>
      </c>
      <c r="I253" s="165"/>
      <c r="J253" s="163"/>
      <c r="K253" s="262" t="s">
        <v>60</v>
      </c>
      <c r="L253" s="263"/>
      <c r="M253" s="262" t="s">
        <v>64</v>
      </c>
      <c r="N253" s="263"/>
      <c r="O253" s="262" t="s">
        <v>65</v>
      </c>
      <c r="P253" s="263"/>
      <c r="Q253" s="262" t="s">
        <v>66</v>
      </c>
      <c r="R253" s="263"/>
      <c r="S253" s="262" t="s">
        <v>69</v>
      </c>
      <c r="T253" s="263"/>
    </row>
    <row r="254" spans="1:20" ht="75.75" customHeight="1" x14ac:dyDescent="0.3">
      <c r="A254" s="162" t="s">
        <v>658</v>
      </c>
      <c r="B254" s="162" t="s">
        <v>659</v>
      </c>
      <c r="I254" s="165"/>
      <c r="J254" s="169" t="s">
        <v>79</v>
      </c>
      <c r="K254" s="170" t="s">
        <v>683</v>
      </c>
      <c r="L254" s="170" t="s">
        <v>684</v>
      </c>
      <c r="M254" s="170" t="s">
        <v>683</v>
      </c>
      <c r="N254" s="170" t="s">
        <v>684</v>
      </c>
      <c r="O254" s="170" t="s">
        <v>683</v>
      </c>
      <c r="P254" s="170" t="s">
        <v>684</v>
      </c>
      <c r="Q254" s="170" t="s">
        <v>683</v>
      </c>
      <c r="R254" s="170" t="s">
        <v>684</v>
      </c>
      <c r="S254" s="170" t="s">
        <v>683</v>
      </c>
      <c r="T254" s="170" t="s">
        <v>684</v>
      </c>
    </row>
    <row r="255" spans="1:20" x14ac:dyDescent="0.3">
      <c r="A255" s="162" t="s">
        <v>660</v>
      </c>
      <c r="B255" s="162" t="s">
        <v>661</v>
      </c>
      <c r="I255" s="204" t="s">
        <v>685</v>
      </c>
      <c r="J255" s="163">
        <v>1</v>
      </c>
      <c r="K255" s="163">
        <f>L51</f>
        <v>0</v>
      </c>
      <c r="L255" s="163">
        <f>J255*K255</f>
        <v>0</v>
      </c>
      <c r="M255" s="163">
        <f>N51</f>
        <v>0</v>
      </c>
      <c r="N255" s="163">
        <f>J255*M255</f>
        <v>0</v>
      </c>
      <c r="O255" s="163">
        <f>P51</f>
        <v>0</v>
      </c>
      <c r="P255" s="163">
        <f>J255*O255</f>
        <v>0</v>
      </c>
      <c r="Q255" s="163">
        <f>R51</f>
        <v>0</v>
      </c>
      <c r="R255" s="163">
        <f>J255*Q255</f>
        <v>0</v>
      </c>
      <c r="S255" s="163">
        <f>T51</f>
        <v>0</v>
      </c>
      <c r="T255" s="163">
        <f>J255*S255</f>
        <v>0</v>
      </c>
    </row>
    <row r="256" spans="1:20" x14ac:dyDescent="0.3">
      <c r="A256" s="162" t="s">
        <v>663</v>
      </c>
      <c r="B256" s="162" t="s">
        <v>664</v>
      </c>
      <c r="I256" s="204" t="s">
        <v>686</v>
      </c>
      <c r="J256" s="163">
        <v>1</v>
      </c>
      <c r="K256" s="163">
        <f>L73</f>
        <v>0</v>
      </c>
      <c r="L256" s="163">
        <f t="shared" ref="L256:L259" si="34">J256*K256</f>
        <v>0</v>
      </c>
      <c r="M256" s="163">
        <f>N73</f>
        <v>0</v>
      </c>
      <c r="N256" s="163">
        <f t="shared" ref="N256:N259" si="35">J256*M256</f>
        <v>0</v>
      </c>
      <c r="O256" s="163">
        <f>P73</f>
        <v>0</v>
      </c>
      <c r="P256" s="163">
        <f t="shared" ref="P256:P259" si="36">J256*O256</f>
        <v>0</v>
      </c>
      <c r="Q256" s="163">
        <f>R73</f>
        <v>0</v>
      </c>
      <c r="R256" s="163">
        <f t="shared" ref="R256:R259" si="37">J256*Q256</f>
        <v>0</v>
      </c>
      <c r="S256" s="163">
        <f>T73</f>
        <v>0</v>
      </c>
      <c r="T256" s="163">
        <f t="shared" ref="T256:T259" si="38">J256*S256</f>
        <v>0</v>
      </c>
    </row>
    <row r="257" spans="1:20" x14ac:dyDescent="0.3">
      <c r="A257" s="162" t="s">
        <v>665</v>
      </c>
      <c r="B257" s="162" t="s">
        <v>123</v>
      </c>
      <c r="I257" s="204" t="s">
        <v>687</v>
      </c>
      <c r="J257" s="163">
        <v>1</v>
      </c>
      <c r="K257" s="163">
        <f>L93</f>
        <v>0</v>
      </c>
      <c r="L257" s="163">
        <f t="shared" si="34"/>
        <v>0</v>
      </c>
      <c r="M257" s="163">
        <f>N93</f>
        <v>0</v>
      </c>
      <c r="N257" s="163">
        <f t="shared" si="35"/>
        <v>0</v>
      </c>
      <c r="O257" s="163">
        <f>P93</f>
        <v>0</v>
      </c>
      <c r="P257" s="163">
        <f t="shared" si="36"/>
        <v>0</v>
      </c>
      <c r="Q257" s="163">
        <f>R93</f>
        <v>0</v>
      </c>
      <c r="R257" s="163">
        <f t="shared" si="37"/>
        <v>0</v>
      </c>
      <c r="S257" s="163">
        <f>T93</f>
        <v>0</v>
      </c>
      <c r="T257" s="163">
        <f t="shared" si="38"/>
        <v>0</v>
      </c>
    </row>
    <row r="258" spans="1:20" x14ac:dyDescent="0.3">
      <c r="A258" s="162" t="s">
        <v>666</v>
      </c>
      <c r="B258" s="162" t="s">
        <v>667</v>
      </c>
      <c r="I258" s="204" t="s">
        <v>688</v>
      </c>
      <c r="J258" s="163">
        <v>1</v>
      </c>
      <c r="K258" s="163">
        <f>L205</f>
        <v>0</v>
      </c>
      <c r="L258" s="163">
        <f t="shared" si="34"/>
        <v>0</v>
      </c>
      <c r="M258" s="163">
        <f>N205</f>
        <v>0</v>
      </c>
      <c r="N258" s="163">
        <f t="shared" si="35"/>
        <v>0</v>
      </c>
      <c r="O258" s="163">
        <f>P205</f>
        <v>0</v>
      </c>
      <c r="P258" s="163">
        <f t="shared" si="36"/>
        <v>0</v>
      </c>
      <c r="Q258" s="163">
        <f>R205</f>
        <v>0</v>
      </c>
      <c r="R258" s="163">
        <f t="shared" si="37"/>
        <v>0</v>
      </c>
      <c r="S258" s="163">
        <f>T205</f>
        <v>0</v>
      </c>
      <c r="T258" s="163">
        <f t="shared" si="38"/>
        <v>0</v>
      </c>
    </row>
    <row r="259" spans="1:20" ht="15" thickBot="1" x14ac:dyDescent="0.35">
      <c r="A259" s="162" t="s">
        <v>668</v>
      </c>
      <c r="B259" s="162" t="s">
        <v>669</v>
      </c>
      <c r="I259" s="205" t="s">
        <v>689</v>
      </c>
      <c r="J259" s="175">
        <v>1</v>
      </c>
      <c r="K259" s="175">
        <f>L250</f>
        <v>0</v>
      </c>
      <c r="L259" s="175">
        <f t="shared" si="34"/>
        <v>0</v>
      </c>
      <c r="M259" s="175">
        <f>N250</f>
        <v>0</v>
      </c>
      <c r="N259" s="175">
        <f t="shared" si="35"/>
        <v>0</v>
      </c>
      <c r="O259" s="175">
        <f>P250</f>
        <v>0</v>
      </c>
      <c r="P259" s="175">
        <f t="shared" si="36"/>
        <v>0</v>
      </c>
      <c r="Q259" s="175">
        <f>R250</f>
        <v>0</v>
      </c>
      <c r="R259" s="175">
        <f t="shared" si="37"/>
        <v>0</v>
      </c>
      <c r="S259" s="175">
        <f>T250</f>
        <v>0</v>
      </c>
      <c r="T259" s="175">
        <f t="shared" si="38"/>
        <v>0</v>
      </c>
    </row>
    <row r="260" spans="1:20" s="183" customFormat="1" ht="16.2" thickTop="1" x14ac:dyDescent="0.3">
      <c r="A260" s="162" t="s">
        <v>690</v>
      </c>
      <c r="B260" s="162" t="s">
        <v>691</v>
      </c>
      <c r="G260" s="184"/>
      <c r="I260" s="185" t="s">
        <v>692</v>
      </c>
      <c r="J260" s="186"/>
      <c r="K260" s="187"/>
      <c r="L260" s="188">
        <f>SUM(L255:L259)</f>
        <v>0</v>
      </c>
      <c r="M260" s="187"/>
      <c r="N260" s="188">
        <f>SUM(N255:N259)</f>
        <v>0</v>
      </c>
      <c r="O260" s="187"/>
      <c r="P260" s="188">
        <f>SUM(P255:P259)</f>
        <v>0</v>
      </c>
      <c r="Q260" s="187"/>
      <c r="R260" s="188">
        <f>SUM(R255:R259)</f>
        <v>0</v>
      </c>
      <c r="S260" s="187"/>
      <c r="T260" s="188">
        <f>SUM(T255:T259)</f>
        <v>0</v>
      </c>
    </row>
    <row r="261" spans="1:20" x14ac:dyDescent="0.3">
      <c r="A261" s="162" t="s">
        <v>672</v>
      </c>
      <c r="B261" s="162" t="s">
        <v>673</v>
      </c>
    </row>
    <row r="262" spans="1:20" x14ac:dyDescent="0.3">
      <c r="A262" s="162" t="s">
        <v>674</v>
      </c>
      <c r="B262" s="162" t="s">
        <v>675</v>
      </c>
      <c r="G262" s="189" t="s">
        <v>693</v>
      </c>
    </row>
    <row r="263" spans="1:20" x14ac:dyDescent="0.3">
      <c r="A263" s="162" t="s">
        <v>676</v>
      </c>
      <c r="B263" s="162" t="s">
        <v>677</v>
      </c>
      <c r="G263" s="190" t="s">
        <v>694</v>
      </c>
    </row>
    <row r="264" spans="1:20" x14ac:dyDescent="0.3">
      <c r="A264" s="162" t="s">
        <v>678</v>
      </c>
      <c r="B264" s="162" t="s">
        <v>679</v>
      </c>
    </row>
    <row r="265" spans="1:20" x14ac:dyDescent="0.3">
      <c r="A265" s="162" t="s">
        <v>680</v>
      </c>
      <c r="B265" s="162" t="s">
        <v>681</v>
      </c>
    </row>
    <row r="294" spans="1:2" x14ac:dyDescent="0.3">
      <c r="A294" s="166"/>
      <c r="B294" s="166"/>
    </row>
    <row r="295" spans="1:2" x14ac:dyDescent="0.3">
      <c r="A295" s="166"/>
      <c r="B295" s="166"/>
    </row>
    <row r="305" spans="1:2" ht="15.6" x14ac:dyDescent="0.3">
      <c r="A305" s="183"/>
      <c r="B305" s="183"/>
    </row>
    <row r="306" spans="1:2" ht="15.6" x14ac:dyDescent="0.3">
      <c r="A306" s="183"/>
      <c r="B306" s="183"/>
    </row>
  </sheetData>
  <mergeCells count="10">
    <mergeCell ref="K1:L1"/>
    <mergeCell ref="M1:N1"/>
    <mergeCell ref="O1:P1"/>
    <mergeCell ref="Q1:R1"/>
    <mergeCell ref="S1:T1"/>
    <mergeCell ref="K253:L253"/>
    <mergeCell ref="M253:N253"/>
    <mergeCell ref="O253:P253"/>
    <mergeCell ref="Q253:R253"/>
    <mergeCell ref="S253:T253"/>
  </mergeCells>
  <phoneticPr fontId="3" type="noConversion"/>
  <pageMargins left="0.78740157480314965" right="0.70866141732283472" top="0.78740157480314965" bottom="0.39370078740157483" header="0.31496062992125984" footer="0.31496062992125984"/>
  <pageSetup paperSize="9" scale="41" fitToHeight="0" orientation="portrait" r:id="rId1"/>
  <headerFooter>
    <oddHeader>&amp;L&amp;"-,Fett"21FEA52724, RV Fahrtreppen
Kriterium Preis</oddHeader>
    <oddFooter>&amp;LSeite &amp;P von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D0939-DF50-4D4D-B4EC-4D9F731FFD14}">
  <dimension ref="A1:E49"/>
  <sheetViews>
    <sheetView topLeftCell="A13" workbookViewId="0">
      <selection activeCell="C9" sqref="C9"/>
    </sheetView>
  </sheetViews>
  <sheetFormatPr baseColWidth="10" defaultRowHeight="13.2" x14ac:dyDescent="0.25"/>
  <cols>
    <col min="3" max="3" width="74.5546875" bestFit="1" customWidth="1"/>
  </cols>
  <sheetData>
    <row r="1" spans="1:5" ht="28.8" x14ac:dyDescent="0.3">
      <c r="A1" s="203" t="s">
        <v>77</v>
      </c>
      <c r="B1" s="167" t="s">
        <v>78</v>
      </c>
      <c r="C1" s="168" t="s">
        <v>72</v>
      </c>
      <c r="D1" s="169" t="s">
        <v>79</v>
      </c>
      <c r="E1" s="167" t="s">
        <v>80</v>
      </c>
    </row>
    <row r="2" spans="1:5" ht="14.4" x14ac:dyDescent="0.3">
      <c r="A2" s="163">
        <v>1</v>
      </c>
      <c r="B2" s="164" t="s">
        <v>90</v>
      </c>
      <c r="C2" s="165" t="s">
        <v>88</v>
      </c>
      <c r="D2" s="163">
        <v>2</v>
      </c>
      <c r="E2" s="164"/>
    </row>
    <row r="3" spans="1:5" ht="14.4" x14ac:dyDescent="0.3">
      <c r="A3" s="163">
        <v>1</v>
      </c>
      <c r="B3" s="164" t="s">
        <v>93</v>
      </c>
      <c r="C3" s="165" t="s">
        <v>88</v>
      </c>
      <c r="D3" s="163">
        <v>2</v>
      </c>
      <c r="E3" s="164"/>
    </row>
    <row r="4" spans="1:5" ht="14.4" x14ac:dyDescent="0.3">
      <c r="A4" s="163">
        <v>1</v>
      </c>
      <c r="B4" s="164" t="s">
        <v>99</v>
      </c>
      <c r="C4" s="165" t="s">
        <v>88</v>
      </c>
      <c r="D4" s="163">
        <v>2</v>
      </c>
      <c r="E4" s="164"/>
    </row>
    <row r="5" spans="1:5" ht="14.4" x14ac:dyDescent="0.3">
      <c r="A5" s="163">
        <v>1</v>
      </c>
      <c r="B5" s="164" t="s">
        <v>105</v>
      </c>
      <c r="C5" s="165" t="s">
        <v>88</v>
      </c>
      <c r="D5" s="163">
        <v>2</v>
      </c>
      <c r="E5" s="164"/>
    </row>
    <row r="6" spans="1:5" ht="14.4" x14ac:dyDescent="0.3">
      <c r="A6" s="163">
        <v>1</v>
      </c>
      <c r="B6" s="164" t="s">
        <v>109</v>
      </c>
      <c r="C6" s="165" t="s">
        <v>88</v>
      </c>
      <c r="D6" s="163">
        <v>2</v>
      </c>
      <c r="E6" s="164"/>
    </row>
    <row r="7" spans="1:5" ht="14.4" x14ac:dyDescent="0.3">
      <c r="A7" s="163">
        <v>1</v>
      </c>
      <c r="B7" s="164" t="s">
        <v>113</v>
      </c>
      <c r="C7" s="165" t="s">
        <v>114</v>
      </c>
      <c r="D7" s="163">
        <v>3</v>
      </c>
      <c r="E7" s="164"/>
    </row>
    <row r="8" spans="1:5" ht="14.4" x14ac:dyDescent="0.3">
      <c r="A8" s="163">
        <v>1</v>
      </c>
      <c r="B8" s="164" t="s">
        <v>118</v>
      </c>
      <c r="C8" s="165" t="s">
        <v>112</v>
      </c>
      <c r="D8" s="163"/>
      <c r="E8" s="164"/>
    </row>
    <row r="9" spans="1:5" ht="14.4" x14ac:dyDescent="0.3">
      <c r="A9" s="163">
        <v>1</v>
      </c>
      <c r="B9" s="164" t="s">
        <v>122</v>
      </c>
      <c r="C9" s="165" t="s">
        <v>123</v>
      </c>
      <c r="D9" s="163">
        <v>2</v>
      </c>
      <c r="E9" s="164"/>
    </row>
    <row r="10" spans="1:5" ht="14.4" x14ac:dyDescent="0.3">
      <c r="A10" s="163">
        <v>1</v>
      </c>
      <c r="B10" s="164" t="s">
        <v>127</v>
      </c>
      <c r="C10" s="165" t="s">
        <v>128</v>
      </c>
      <c r="D10" s="163">
        <v>2</v>
      </c>
      <c r="E10" s="164"/>
    </row>
    <row r="11" spans="1:5" ht="14.4" x14ac:dyDescent="0.3">
      <c r="A11" s="163">
        <v>1</v>
      </c>
      <c r="B11" s="164" t="s">
        <v>132</v>
      </c>
      <c r="C11" s="165" t="s">
        <v>133</v>
      </c>
      <c r="D11" s="163">
        <v>2</v>
      </c>
      <c r="E11" s="164"/>
    </row>
    <row r="12" spans="1:5" ht="14.4" x14ac:dyDescent="0.3">
      <c r="A12" s="163">
        <v>1</v>
      </c>
      <c r="B12" s="164" t="s">
        <v>137</v>
      </c>
      <c r="C12" s="165" t="s">
        <v>138</v>
      </c>
      <c r="D12" s="163">
        <v>2</v>
      </c>
      <c r="E12" s="164"/>
    </row>
    <row r="13" spans="1:5" ht="14.4" x14ac:dyDescent="0.3">
      <c r="A13" s="163">
        <v>1</v>
      </c>
      <c r="B13" s="164" t="s">
        <v>143</v>
      </c>
      <c r="C13" s="165" t="s">
        <v>144</v>
      </c>
      <c r="D13" s="163">
        <v>2</v>
      </c>
      <c r="E13" s="164"/>
    </row>
    <row r="14" spans="1:5" ht="14.4" x14ac:dyDescent="0.3">
      <c r="A14" s="163">
        <v>1</v>
      </c>
      <c r="B14" s="164" t="s">
        <v>148</v>
      </c>
      <c r="C14" s="165" t="s">
        <v>149</v>
      </c>
      <c r="D14" s="163">
        <v>1</v>
      </c>
      <c r="E14" s="164"/>
    </row>
    <row r="15" spans="1:5" ht="14.4" x14ac:dyDescent="0.3">
      <c r="A15" s="163">
        <v>1</v>
      </c>
      <c r="B15" s="164" t="s">
        <v>152</v>
      </c>
      <c r="C15" s="165" t="s">
        <v>153</v>
      </c>
      <c r="D15" s="163">
        <v>2</v>
      </c>
      <c r="E15" s="164"/>
    </row>
    <row r="16" spans="1:5" ht="14.4" x14ac:dyDescent="0.3">
      <c r="A16" s="163">
        <v>1</v>
      </c>
      <c r="B16" s="164" t="s">
        <v>156</v>
      </c>
      <c r="C16" s="165" t="s">
        <v>157</v>
      </c>
      <c r="D16" s="163">
        <v>2</v>
      </c>
      <c r="E16" s="164"/>
    </row>
    <row r="17" spans="1:5" ht="14.4" x14ac:dyDescent="0.3">
      <c r="A17" s="163">
        <v>1</v>
      </c>
      <c r="B17" s="164" t="s">
        <v>160</v>
      </c>
      <c r="C17" s="165" t="s">
        <v>161</v>
      </c>
      <c r="D17" s="163">
        <v>2</v>
      </c>
      <c r="E17" s="164"/>
    </row>
    <row r="18" spans="1:5" ht="14.4" x14ac:dyDescent="0.3">
      <c r="A18" s="163">
        <v>1</v>
      </c>
      <c r="B18" s="164" t="s">
        <v>164</v>
      </c>
      <c r="C18" s="165" t="s">
        <v>165</v>
      </c>
      <c r="D18" s="163">
        <v>2</v>
      </c>
      <c r="E18" s="164"/>
    </row>
    <row r="19" spans="1:5" ht="14.4" x14ac:dyDescent="0.3">
      <c r="A19" s="163">
        <v>1</v>
      </c>
      <c r="B19" s="164" t="s">
        <v>168</v>
      </c>
      <c r="C19" s="165" t="s">
        <v>169</v>
      </c>
      <c r="D19" s="163">
        <v>1</v>
      </c>
      <c r="E19" s="164"/>
    </row>
    <row r="20" spans="1:5" ht="14.4" x14ac:dyDescent="0.3">
      <c r="A20" s="163">
        <v>1</v>
      </c>
      <c r="B20" s="164" t="s">
        <v>172</v>
      </c>
      <c r="C20" s="165" t="s">
        <v>171</v>
      </c>
      <c r="D20" s="163">
        <v>1</v>
      </c>
      <c r="E20" s="164"/>
    </row>
    <row r="21" spans="1:5" ht="14.4" x14ac:dyDescent="0.3">
      <c r="A21" s="163">
        <v>1</v>
      </c>
      <c r="B21" s="164" t="s">
        <v>174</v>
      </c>
      <c r="C21" s="165" t="s">
        <v>112</v>
      </c>
      <c r="D21" s="163">
        <v>1</v>
      </c>
      <c r="E21" s="164"/>
    </row>
    <row r="22" spans="1:5" ht="14.4" x14ac:dyDescent="0.3">
      <c r="A22" s="163">
        <v>1</v>
      </c>
      <c r="B22" s="164" t="s">
        <v>118</v>
      </c>
      <c r="C22" s="165" t="s">
        <v>131</v>
      </c>
      <c r="D22" s="163">
        <v>2</v>
      </c>
      <c r="E22" s="164"/>
    </row>
    <row r="23" spans="1:5" ht="14.4" x14ac:dyDescent="0.3">
      <c r="A23" s="163">
        <v>1</v>
      </c>
      <c r="B23" s="164" t="s">
        <v>179</v>
      </c>
      <c r="C23" s="165" t="s">
        <v>180</v>
      </c>
      <c r="D23" s="163">
        <v>1</v>
      </c>
      <c r="E23" s="164"/>
    </row>
    <row r="24" spans="1:5" ht="14.4" x14ac:dyDescent="0.3">
      <c r="A24" s="163">
        <v>1</v>
      </c>
      <c r="B24" s="164" t="s">
        <v>183</v>
      </c>
      <c r="C24" s="165" t="s">
        <v>141</v>
      </c>
      <c r="D24" s="163">
        <v>2</v>
      </c>
      <c r="E24" s="164"/>
    </row>
    <row r="25" spans="1:5" ht="14.4" x14ac:dyDescent="0.3">
      <c r="A25" s="163">
        <v>1</v>
      </c>
      <c r="B25" s="164" t="s">
        <v>186</v>
      </c>
      <c r="C25" s="165" t="s">
        <v>187</v>
      </c>
      <c r="D25" s="163">
        <v>1</v>
      </c>
      <c r="E25" s="164"/>
    </row>
    <row r="26" spans="1:5" ht="14.4" x14ac:dyDescent="0.3">
      <c r="A26" s="163">
        <v>1</v>
      </c>
      <c r="B26" s="164" t="s">
        <v>190</v>
      </c>
      <c r="C26" s="165" t="s">
        <v>151</v>
      </c>
      <c r="D26" s="163">
        <v>6</v>
      </c>
      <c r="E26" s="164"/>
    </row>
    <row r="27" spans="1:5" ht="14.4" x14ac:dyDescent="0.3">
      <c r="A27" s="163">
        <v>1</v>
      </c>
      <c r="B27" s="164" t="s">
        <v>193</v>
      </c>
      <c r="C27" s="165" t="s">
        <v>194</v>
      </c>
      <c r="D27" s="163">
        <v>1</v>
      </c>
      <c r="E27" s="164"/>
    </row>
    <row r="28" spans="1:5" ht="14.4" x14ac:dyDescent="0.3">
      <c r="A28" s="163">
        <v>1</v>
      </c>
      <c r="B28" s="164" t="s">
        <v>196</v>
      </c>
      <c r="C28" s="165" t="s">
        <v>197</v>
      </c>
      <c r="D28" s="163">
        <v>1</v>
      </c>
      <c r="E28" s="164"/>
    </row>
    <row r="29" spans="1:5" ht="14.4" x14ac:dyDescent="0.3">
      <c r="A29" s="163">
        <v>1</v>
      </c>
      <c r="B29" s="164" t="s">
        <v>200</v>
      </c>
      <c r="C29" s="165" t="s">
        <v>201</v>
      </c>
      <c r="D29" s="163">
        <v>2</v>
      </c>
      <c r="E29" s="164"/>
    </row>
    <row r="30" spans="1:5" ht="14.4" x14ac:dyDescent="0.3">
      <c r="A30" s="163">
        <v>1</v>
      </c>
      <c r="B30" s="164" t="s">
        <v>204</v>
      </c>
      <c r="C30" s="165" t="s">
        <v>205</v>
      </c>
      <c r="D30" s="163">
        <v>2</v>
      </c>
      <c r="E30" s="164"/>
    </row>
    <row r="31" spans="1:5" ht="14.4" x14ac:dyDescent="0.3">
      <c r="A31" s="163">
        <v>1</v>
      </c>
      <c r="B31" s="164" t="s">
        <v>208</v>
      </c>
      <c r="C31" s="165" t="s">
        <v>209</v>
      </c>
      <c r="D31" s="163">
        <v>1</v>
      </c>
      <c r="E31" s="164"/>
    </row>
    <row r="32" spans="1:5" ht="14.4" x14ac:dyDescent="0.3">
      <c r="A32" s="163">
        <v>1</v>
      </c>
      <c r="B32" s="164" t="s">
        <v>211</v>
      </c>
      <c r="C32" s="165" t="s">
        <v>212</v>
      </c>
      <c r="D32" s="163">
        <v>2</v>
      </c>
      <c r="E32" s="164"/>
    </row>
    <row r="33" spans="1:5" ht="14.4" x14ac:dyDescent="0.3">
      <c r="A33" s="163">
        <v>1</v>
      </c>
      <c r="B33" s="164" t="s">
        <v>213</v>
      </c>
      <c r="C33" s="165" t="s">
        <v>214</v>
      </c>
      <c r="D33" s="163">
        <v>1</v>
      </c>
      <c r="E33" s="164"/>
    </row>
    <row r="34" spans="1:5" ht="14.4" x14ac:dyDescent="0.3">
      <c r="A34" s="163">
        <v>1</v>
      </c>
      <c r="B34" s="164" t="s">
        <v>216</v>
      </c>
      <c r="C34" s="165" t="s">
        <v>217</v>
      </c>
      <c r="D34" s="163">
        <v>1</v>
      </c>
      <c r="E34" s="164"/>
    </row>
    <row r="35" spans="1:5" ht="14.4" x14ac:dyDescent="0.3">
      <c r="A35" s="163">
        <v>1</v>
      </c>
      <c r="B35" s="164" t="s">
        <v>218</v>
      </c>
      <c r="C35" s="165" t="s">
        <v>219</v>
      </c>
      <c r="D35" s="163">
        <v>1</v>
      </c>
      <c r="E35" s="164"/>
    </row>
    <row r="36" spans="1:5" ht="14.4" x14ac:dyDescent="0.3">
      <c r="A36" s="163">
        <v>1</v>
      </c>
      <c r="B36" s="164" t="s">
        <v>220</v>
      </c>
      <c r="C36" s="165" t="s">
        <v>221</v>
      </c>
      <c r="D36" s="163">
        <v>2</v>
      </c>
      <c r="E36" s="164"/>
    </row>
    <row r="37" spans="1:5" ht="14.4" x14ac:dyDescent="0.3">
      <c r="A37" s="163">
        <v>1</v>
      </c>
      <c r="B37" s="164" t="s">
        <v>222</v>
      </c>
      <c r="C37" s="165" t="s">
        <v>223</v>
      </c>
      <c r="D37" s="163">
        <v>1</v>
      </c>
      <c r="E37" s="164"/>
    </row>
    <row r="38" spans="1:5" ht="14.4" x14ac:dyDescent="0.3">
      <c r="A38" s="163">
        <v>1</v>
      </c>
      <c r="B38" s="164" t="s">
        <v>224</v>
      </c>
      <c r="C38" s="165" t="s">
        <v>225</v>
      </c>
      <c r="D38" s="163">
        <v>1</v>
      </c>
      <c r="E38" s="164"/>
    </row>
    <row r="39" spans="1:5" ht="14.4" x14ac:dyDescent="0.3">
      <c r="A39" s="163">
        <v>1</v>
      </c>
      <c r="B39" s="164" t="s">
        <v>227</v>
      </c>
      <c r="C39" s="165" t="s">
        <v>228</v>
      </c>
      <c r="D39" s="163">
        <v>5</v>
      </c>
      <c r="E39" s="164"/>
    </row>
    <row r="40" spans="1:5" ht="14.4" x14ac:dyDescent="0.3">
      <c r="A40" s="163">
        <v>1</v>
      </c>
      <c r="B40" s="164" t="s">
        <v>229</v>
      </c>
      <c r="C40" s="165" t="s">
        <v>230</v>
      </c>
      <c r="D40" s="163">
        <v>2</v>
      </c>
      <c r="E40" s="164"/>
    </row>
    <row r="41" spans="1:5" ht="14.4" x14ac:dyDescent="0.3">
      <c r="A41" s="163">
        <v>1</v>
      </c>
      <c r="B41" s="164" t="s">
        <v>231</v>
      </c>
      <c r="C41" s="165" t="s">
        <v>126</v>
      </c>
      <c r="D41" s="163">
        <v>2</v>
      </c>
      <c r="E41" s="164"/>
    </row>
    <row r="42" spans="1:5" ht="14.4" x14ac:dyDescent="0.3">
      <c r="A42" s="163">
        <v>1</v>
      </c>
      <c r="B42" s="164" t="s">
        <v>232</v>
      </c>
      <c r="C42" s="165" t="s">
        <v>233</v>
      </c>
      <c r="D42" s="163">
        <v>2</v>
      </c>
      <c r="E42" s="164"/>
    </row>
    <row r="43" spans="1:5" ht="14.4" x14ac:dyDescent="0.3">
      <c r="A43" s="163">
        <v>1</v>
      </c>
      <c r="B43" s="164" t="s">
        <v>234</v>
      </c>
      <c r="C43" s="165" t="s">
        <v>235</v>
      </c>
      <c r="D43" s="163">
        <v>1</v>
      </c>
      <c r="E43" s="164"/>
    </row>
    <row r="44" spans="1:5" ht="14.4" x14ac:dyDescent="0.3">
      <c r="A44" s="163">
        <v>1</v>
      </c>
      <c r="B44" s="164" t="s">
        <v>236</v>
      </c>
      <c r="C44" s="165" t="s">
        <v>237</v>
      </c>
      <c r="D44" s="163">
        <v>2</v>
      </c>
      <c r="E44" s="164"/>
    </row>
    <row r="45" spans="1:5" ht="14.4" x14ac:dyDescent="0.3">
      <c r="A45" s="172">
        <v>1</v>
      </c>
      <c r="B45" s="164" t="s">
        <v>238</v>
      </c>
      <c r="C45" s="165" t="s">
        <v>239</v>
      </c>
      <c r="D45" s="163">
        <v>2</v>
      </c>
      <c r="E45" s="164"/>
    </row>
    <row r="46" spans="1:5" ht="14.4" x14ac:dyDescent="0.3">
      <c r="A46" s="163">
        <v>1</v>
      </c>
      <c r="B46" s="164" t="s">
        <v>240</v>
      </c>
      <c r="C46" s="165" t="s">
        <v>241</v>
      </c>
      <c r="D46" s="163">
        <v>2</v>
      </c>
      <c r="E46" s="164"/>
    </row>
    <row r="47" spans="1:5" ht="14.4" x14ac:dyDescent="0.3">
      <c r="A47" s="163">
        <v>1</v>
      </c>
      <c r="B47" s="164" t="s">
        <v>242</v>
      </c>
      <c r="C47" s="165" t="s">
        <v>147</v>
      </c>
      <c r="D47" s="163">
        <v>2</v>
      </c>
      <c r="E47" s="164"/>
    </row>
    <row r="48" spans="1:5" ht="15" thickBot="1" x14ac:dyDescent="0.35">
      <c r="A48" s="175">
        <v>1</v>
      </c>
      <c r="B48" s="173" t="s">
        <v>243</v>
      </c>
      <c r="C48" s="174" t="s">
        <v>244</v>
      </c>
      <c r="D48" s="175">
        <v>1</v>
      </c>
      <c r="E48" s="173"/>
    </row>
    <row r="49" ht="13.8" thickTop="1" x14ac:dyDescent="0.25"/>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84EB1-27EA-46DF-B045-68E5B2392DDF}">
  <dimension ref="A1:E22"/>
  <sheetViews>
    <sheetView workbookViewId="0">
      <selection activeCell="D3" sqref="D3"/>
    </sheetView>
  </sheetViews>
  <sheetFormatPr baseColWidth="10" defaultRowHeight="13.2" x14ac:dyDescent="0.25"/>
  <cols>
    <col min="1" max="1" width="5.5546875" bestFit="1" customWidth="1"/>
    <col min="2" max="2" width="10.6640625" bestFit="1" customWidth="1"/>
    <col min="3" max="3" width="36.77734375" bestFit="1" customWidth="1"/>
    <col min="4" max="4" width="10.5546875" bestFit="1" customWidth="1"/>
    <col min="5" max="5" width="5" bestFit="1" customWidth="1"/>
  </cols>
  <sheetData>
    <row r="1" spans="1:5" ht="28.8" x14ac:dyDescent="0.3">
      <c r="A1" s="203" t="s">
        <v>77</v>
      </c>
      <c r="B1" s="167" t="s">
        <v>78</v>
      </c>
      <c r="C1" s="168" t="s">
        <v>72</v>
      </c>
      <c r="D1" s="169" t="s">
        <v>79</v>
      </c>
      <c r="E1" s="167" t="s">
        <v>80</v>
      </c>
    </row>
    <row r="2" spans="1:5" ht="14.4" x14ac:dyDescent="0.3">
      <c r="A2" s="163">
        <v>2</v>
      </c>
      <c r="B2" s="164" t="s">
        <v>248</v>
      </c>
      <c r="C2" s="165" t="s">
        <v>114</v>
      </c>
      <c r="D2" s="163">
        <v>1</v>
      </c>
      <c r="E2" s="164"/>
    </row>
    <row r="3" spans="1:5" ht="14.4" x14ac:dyDescent="0.3">
      <c r="A3" s="163">
        <v>2</v>
      </c>
      <c r="B3" s="164" t="s">
        <v>250</v>
      </c>
      <c r="C3" s="165" t="s">
        <v>251</v>
      </c>
      <c r="D3" s="163">
        <v>1</v>
      </c>
      <c r="E3" s="164"/>
    </row>
    <row r="4" spans="1:5" ht="14.4" x14ac:dyDescent="0.3">
      <c r="A4" s="163">
        <v>2</v>
      </c>
      <c r="B4" s="164" t="s">
        <v>253</v>
      </c>
      <c r="C4" s="165" t="s">
        <v>254</v>
      </c>
      <c r="D4" s="163">
        <v>1</v>
      </c>
      <c r="E4" s="164"/>
    </row>
    <row r="5" spans="1:5" ht="14.4" x14ac:dyDescent="0.3">
      <c r="A5" s="163">
        <v>2</v>
      </c>
      <c r="B5" s="164" t="s">
        <v>257</v>
      </c>
      <c r="C5" s="165" t="s">
        <v>258</v>
      </c>
      <c r="D5" s="163">
        <v>1</v>
      </c>
      <c r="E5" s="164"/>
    </row>
    <row r="6" spans="1:5" ht="14.4" x14ac:dyDescent="0.3">
      <c r="A6" s="163">
        <v>2</v>
      </c>
      <c r="B6" s="164" t="s">
        <v>261</v>
      </c>
      <c r="C6" s="165" t="s">
        <v>262</v>
      </c>
      <c r="D6" s="163">
        <v>1</v>
      </c>
      <c r="E6" s="164"/>
    </row>
    <row r="7" spans="1:5" ht="14.4" x14ac:dyDescent="0.3">
      <c r="A7" s="163">
        <v>2</v>
      </c>
      <c r="B7" s="164" t="s">
        <v>265</v>
      </c>
      <c r="C7" s="165" t="s">
        <v>114</v>
      </c>
      <c r="D7" s="163">
        <v>1</v>
      </c>
      <c r="E7" s="164"/>
    </row>
    <row r="8" spans="1:5" ht="14.4" x14ac:dyDescent="0.3">
      <c r="A8" s="163">
        <v>2</v>
      </c>
      <c r="B8" s="164" t="s">
        <v>267</v>
      </c>
      <c r="C8" s="165" t="s">
        <v>251</v>
      </c>
      <c r="D8" s="163">
        <v>1</v>
      </c>
      <c r="E8" s="164"/>
    </row>
    <row r="9" spans="1:5" ht="14.4" x14ac:dyDescent="0.3">
      <c r="A9" s="163">
        <v>2</v>
      </c>
      <c r="B9" s="164" t="s">
        <v>269</v>
      </c>
      <c r="C9" s="165" t="s">
        <v>254</v>
      </c>
      <c r="D9" s="163">
        <v>1</v>
      </c>
      <c r="E9" s="164"/>
    </row>
    <row r="10" spans="1:5" ht="14.4" x14ac:dyDescent="0.3">
      <c r="A10" s="163">
        <v>2</v>
      </c>
      <c r="B10" s="164" t="s">
        <v>271</v>
      </c>
      <c r="C10" s="165" t="s">
        <v>258</v>
      </c>
      <c r="D10" s="163">
        <v>1</v>
      </c>
      <c r="E10" s="164"/>
    </row>
    <row r="11" spans="1:5" ht="14.4" x14ac:dyDescent="0.3">
      <c r="A11" s="163">
        <v>2</v>
      </c>
      <c r="B11" s="164" t="s">
        <v>273</v>
      </c>
      <c r="C11" s="165" t="s">
        <v>262</v>
      </c>
      <c r="D11" s="163">
        <v>1</v>
      </c>
      <c r="E11" s="164"/>
    </row>
    <row r="12" spans="1:5" ht="14.4" x14ac:dyDescent="0.3">
      <c r="A12" s="163">
        <v>2</v>
      </c>
      <c r="B12" s="164" t="s">
        <v>275</v>
      </c>
      <c r="C12" s="165" t="s">
        <v>114</v>
      </c>
      <c r="D12" s="163">
        <v>1</v>
      </c>
      <c r="E12" s="164"/>
    </row>
    <row r="13" spans="1:5" ht="14.4" x14ac:dyDescent="0.3">
      <c r="A13" s="163">
        <v>2</v>
      </c>
      <c r="B13" s="164" t="s">
        <v>277</v>
      </c>
      <c r="C13" s="165" t="s">
        <v>251</v>
      </c>
      <c r="D13" s="163">
        <v>1</v>
      </c>
      <c r="E13" s="164"/>
    </row>
    <row r="14" spans="1:5" ht="14.4" x14ac:dyDescent="0.3">
      <c r="A14" s="163">
        <v>2</v>
      </c>
      <c r="B14" s="164" t="s">
        <v>279</v>
      </c>
      <c r="C14" s="165" t="s">
        <v>254</v>
      </c>
      <c r="D14" s="163">
        <v>1</v>
      </c>
      <c r="E14" s="164"/>
    </row>
    <row r="15" spans="1:5" ht="14.4" x14ac:dyDescent="0.3">
      <c r="A15" s="163">
        <v>2</v>
      </c>
      <c r="B15" s="164" t="s">
        <v>281</v>
      </c>
      <c r="C15" s="165" t="s">
        <v>258</v>
      </c>
      <c r="D15" s="163">
        <v>1</v>
      </c>
      <c r="E15" s="164"/>
    </row>
    <row r="16" spans="1:5" ht="14.4" x14ac:dyDescent="0.3">
      <c r="A16" s="163">
        <v>2</v>
      </c>
      <c r="B16" s="164" t="s">
        <v>283</v>
      </c>
      <c r="C16" s="165" t="s">
        <v>262</v>
      </c>
      <c r="D16" s="163">
        <v>1</v>
      </c>
      <c r="E16" s="164"/>
    </row>
    <row r="17" spans="1:5" ht="14.4" x14ac:dyDescent="0.3">
      <c r="A17" s="163">
        <v>2</v>
      </c>
      <c r="B17" s="164" t="s">
        <v>113</v>
      </c>
      <c r="C17" s="165" t="s">
        <v>114</v>
      </c>
      <c r="D17" s="163">
        <v>1</v>
      </c>
      <c r="E17" s="164"/>
    </row>
    <row r="18" spans="1:5" ht="14.4" x14ac:dyDescent="0.3">
      <c r="A18" s="163">
        <v>2</v>
      </c>
      <c r="B18" s="164" t="s">
        <v>286</v>
      </c>
      <c r="C18" s="165" t="s">
        <v>251</v>
      </c>
      <c r="D18" s="163">
        <v>1</v>
      </c>
      <c r="E18" s="164"/>
    </row>
    <row r="19" spans="1:5" ht="14.4" x14ac:dyDescent="0.3">
      <c r="A19" s="163">
        <v>2</v>
      </c>
      <c r="B19" s="164" t="s">
        <v>288</v>
      </c>
      <c r="C19" s="165" t="s">
        <v>254</v>
      </c>
      <c r="D19" s="163">
        <v>1</v>
      </c>
      <c r="E19" s="164"/>
    </row>
    <row r="20" spans="1:5" ht="14.4" x14ac:dyDescent="0.3">
      <c r="A20" s="163">
        <v>2</v>
      </c>
      <c r="B20" s="164" t="s">
        <v>290</v>
      </c>
      <c r="C20" s="165" t="s">
        <v>258</v>
      </c>
      <c r="D20" s="163">
        <v>1</v>
      </c>
      <c r="E20" s="164"/>
    </row>
    <row r="21" spans="1:5" ht="15" thickBot="1" x14ac:dyDescent="0.35">
      <c r="A21" s="175">
        <v>2</v>
      </c>
      <c r="B21" s="173" t="s">
        <v>291</v>
      </c>
      <c r="C21" s="174" t="s">
        <v>262</v>
      </c>
      <c r="D21" s="175">
        <v>1</v>
      </c>
      <c r="E21" s="173"/>
    </row>
    <row r="22" spans="1:5" ht="13.8" thickTop="1" x14ac:dyDescent="0.25"/>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A8A25-A1C3-44A2-8E86-13B64251E298}">
  <dimension ref="A1:E20"/>
  <sheetViews>
    <sheetView workbookViewId="0">
      <selection activeCell="F1" sqref="F1:Q1048576"/>
    </sheetView>
  </sheetViews>
  <sheetFormatPr baseColWidth="10" defaultRowHeight="13.2" x14ac:dyDescent="0.25"/>
  <sheetData>
    <row r="1" spans="1:5" ht="28.8" x14ac:dyDescent="0.3">
      <c r="A1" s="203" t="s">
        <v>77</v>
      </c>
      <c r="B1" s="167" t="s">
        <v>78</v>
      </c>
      <c r="C1" s="168" t="s">
        <v>72</v>
      </c>
      <c r="D1" s="169" t="s">
        <v>79</v>
      </c>
      <c r="E1" s="167" t="s">
        <v>80</v>
      </c>
    </row>
    <row r="2" spans="1:5" ht="14.4" x14ac:dyDescent="0.3">
      <c r="A2" s="163">
        <v>3</v>
      </c>
      <c r="B2" s="164" t="s">
        <v>296</v>
      </c>
      <c r="C2" s="165" t="s">
        <v>297</v>
      </c>
      <c r="D2" s="163">
        <v>1</v>
      </c>
      <c r="E2" s="164"/>
    </row>
    <row r="3" spans="1:5" ht="14.4" x14ac:dyDescent="0.3">
      <c r="A3" s="163">
        <v>3</v>
      </c>
      <c r="B3" s="164" t="s">
        <v>298</v>
      </c>
      <c r="C3" s="165" t="s">
        <v>299</v>
      </c>
      <c r="D3" s="163">
        <v>1</v>
      </c>
      <c r="E3" s="164"/>
    </row>
    <row r="4" spans="1:5" ht="14.4" x14ac:dyDescent="0.3">
      <c r="A4" s="163">
        <v>3</v>
      </c>
      <c r="B4" s="164" t="s">
        <v>300</v>
      </c>
      <c r="C4" s="165" t="s">
        <v>301</v>
      </c>
      <c r="D4" s="163">
        <v>1</v>
      </c>
      <c r="E4" s="164"/>
    </row>
    <row r="5" spans="1:5" ht="14.4" x14ac:dyDescent="0.3">
      <c r="A5" s="163">
        <v>3</v>
      </c>
      <c r="B5" s="164" t="s">
        <v>304</v>
      </c>
      <c r="C5" s="165" t="s">
        <v>305</v>
      </c>
      <c r="D5" s="163">
        <v>1</v>
      </c>
      <c r="E5" s="164"/>
    </row>
    <row r="6" spans="1:5" ht="14.4" x14ac:dyDescent="0.3">
      <c r="A6" s="163">
        <v>3</v>
      </c>
      <c r="B6" s="164" t="s">
        <v>308</v>
      </c>
      <c r="C6" s="165" t="s">
        <v>309</v>
      </c>
      <c r="D6" s="163">
        <v>1</v>
      </c>
      <c r="E6" s="164"/>
    </row>
    <row r="7" spans="1:5" ht="14.4" x14ac:dyDescent="0.3">
      <c r="A7" s="163">
        <v>3</v>
      </c>
      <c r="B7" s="164" t="s">
        <v>312</v>
      </c>
      <c r="C7" s="165" t="s">
        <v>313</v>
      </c>
      <c r="D7" s="163">
        <v>1</v>
      </c>
      <c r="E7" s="164"/>
    </row>
    <row r="8" spans="1:5" ht="14.4" x14ac:dyDescent="0.3">
      <c r="A8" s="163">
        <v>3</v>
      </c>
      <c r="B8" s="164" t="s">
        <v>316</v>
      </c>
      <c r="C8" s="165" t="s">
        <v>317</v>
      </c>
      <c r="D8" s="163">
        <v>1</v>
      </c>
      <c r="E8" s="164"/>
    </row>
    <row r="9" spans="1:5" ht="14.4" x14ac:dyDescent="0.3">
      <c r="A9" s="163">
        <v>3</v>
      </c>
      <c r="B9" s="164" t="s">
        <v>320</v>
      </c>
      <c r="C9" s="165" t="s">
        <v>321</v>
      </c>
      <c r="D9" s="163">
        <v>1</v>
      </c>
      <c r="E9" s="164"/>
    </row>
    <row r="10" spans="1:5" ht="14.4" x14ac:dyDescent="0.3">
      <c r="A10" s="163">
        <v>3</v>
      </c>
      <c r="B10" s="164" t="s">
        <v>324</v>
      </c>
      <c r="C10" s="165" t="s">
        <v>325</v>
      </c>
      <c r="D10" s="163">
        <v>1</v>
      </c>
      <c r="E10" s="164"/>
    </row>
    <row r="11" spans="1:5" ht="14.4" x14ac:dyDescent="0.3">
      <c r="A11" s="163">
        <v>3</v>
      </c>
      <c r="B11" s="164" t="s">
        <v>326</v>
      </c>
      <c r="C11" s="164" t="s">
        <v>323</v>
      </c>
      <c r="D11" s="163">
        <v>3</v>
      </c>
      <c r="E11" s="164"/>
    </row>
    <row r="12" spans="1:5" ht="14.4" x14ac:dyDescent="0.3">
      <c r="A12" s="163">
        <v>3</v>
      </c>
      <c r="B12" s="164" t="s">
        <v>327</v>
      </c>
      <c r="C12" s="164" t="s">
        <v>328</v>
      </c>
      <c r="D12" s="163">
        <v>1</v>
      </c>
      <c r="E12" s="164"/>
    </row>
    <row r="13" spans="1:5" ht="14.4" x14ac:dyDescent="0.3">
      <c r="A13" s="163">
        <v>3</v>
      </c>
      <c r="B13" s="164" t="s">
        <v>329</v>
      </c>
      <c r="C13" s="164" t="s">
        <v>330</v>
      </c>
      <c r="D13" s="163">
        <v>1</v>
      </c>
      <c r="E13" s="164"/>
    </row>
    <row r="14" spans="1:5" ht="14.4" x14ac:dyDescent="0.3">
      <c r="A14" s="163">
        <v>3</v>
      </c>
      <c r="B14" s="164" t="s">
        <v>331</v>
      </c>
      <c r="C14" s="164" t="s">
        <v>332</v>
      </c>
      <c r="D14" s="163">
        <v>1</v>
      </c>
      <c r="E14" s="164"/>
    </row>
    <row r="15" spans="1:5" ht="14.4" x14ac:dyDescent="0.3">
      <c r="A15" s="163">
        <v>3</v>
      </c>
      <c r="B15" s="164" t="s">
        <v>333</v>
      </c>
      <c r="C15" s="164" t="s">
        <v>334</v>
      </c>
      <c r="D15" s="163">
        <v>1</v>
      </c>
      <c r="E15" s="164"/>
    </row>
    <row r="16" spans="1:5" ht="14.4" x14ac:dyDescent="0.3">
      <c r="A16" s="163">
        <v>3</v>
      </c>
      <c r="B16" s="164" t="s">
        <v>335</v>
      </c>
      <c r="C16" s="164" t="s">
        <v>336</v>
      </c>
      <c r="D16" s="163">
        <v>1</v>
      </c>
      <c r="E16" s="164"/>
    </row>
    <row r="17" spans="1:5" ht="14.4" x14ac:dyDescent="0.3">
      <c r="A17" s="163">
        <v>3</v>
      </c>
      <c r="B17" s="164" t="s">
        <v>337</v>
      </c>
      <c r="C17" s="164" t="s">
        <v>338</v>
      </c>
      <c r="D17" s="163">
        <v>1</v>
      </c>
      <c r="E17" s="164"/>
    </row>
    <row r="18" spans="1:5" ht="14.4" x14ac:dyDescent="0.3">
      <c r="A18" s="163">
        <v>3</v>
      </c>
      <c r="B18" s="164" t="s">
        <v>339</v>
      </c>
      <c r="C18" s="164" t="s">
        <v>340</v>
      </c>
      <c r="D18" s="163">
        <v>1</v>
      </c>
      <c r="E18" s="164"/>
    </row>
    <row r="19" spans="1:5" ht="15" thickBot="1" x14ac:dyDescent="0.35">
      <c r="A19" s="175">
        <v>3</v>
      </c>
      <c r="B19" s="173" t="s">
        <v>341</v>
      </c>
      <c r="C19" s="173" t="s">
        <v>342</v>
      </c>
      <c r="D19" s="175">
        <v>1</v>
      </c>
      <c r="E19" s="173"/>
    </row>
    <row r="20" spans="1:5" ht="13.8" thickTop="1" x14ac:dyDescent="0.25"/>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3B86A-9389-4CF7-AB35-0D8B39050CB0}">
  <dimension ref="A1:E108"/>
  <sheetViews>
    <sheetView workbookViewId="0">
      <selection activeCell="C9" sqref="C9"/>
    </sheetView>
  </sheetViews>
  <sheetFormatPr baseColWidth="10" defaultRowHeight="13.2" x14ac:dyDescent="0.25"/>
  <cols>
    <col min="1" max="1" width="5.5546875" bestFit="1" customWidth="1"/>
    <col min="2" max="2" width="10.6640625" bestFit="1" customWidth="1"/>
    <col min="3" max="3" width="60.44140625" bestFit="1" customWidth="1"/>
    <col min="4" max="4" width="10.5546875" bestFit="1" customWidth="1"/>
    <col min="5" max="5" width="5" bestFit="1" customWidth="1"/>
  </cols>
  <sheetData>
    <row r="1" spans="1:5" ht="28.8" x14ac:dyDescent="0.3">
      <c r="A1" s="203" t="s">
        <v>77</v>
      </c>
      <c r="B1" s="167" t="s">
        <v>78</v>
      </c>
      <c r="C1" s="168" t="s">
        <v>72</v>
      </c>
      <c r="D1" s="169" t="s">
        <v>79</v>
      </c>
      <c r="E1" s="167" t="s">
        <v>80</v>
      </c>
    </row>
    <row r="2" spans="1:5" ht="14.4" x14ac:dyDescent="0.3">
      <c r="A2" s="163">
        <v>4</v>
      </c>
      <c r="B2" s="164" t="s">
        <v>344</v>
      </c>
      <c r="C2" s="164" t="s">
        <v>345</v>
      </c>
      <c r="D2">
        <v>2</v>
      </c>
      <c r="E2" s="164"/>
    </row>
    <row r="3" spans="1:5" ht="14.4" x14ac:dyDescent="0.3">
      <c r="A3" s="163">
        <v>4</v>
      </c>
      <c r="B3" s="164" t="s">
        <v>346</v>
      </c>
      <c r="C3" s="164" t="s">
        <v>347</v>
      </c>
      <c r="D3">
        <v>1</v>
      </c>
      <c r="E3" s="164"/>
    </row>
    <row r="4" spans="1:5" ht="14.4" x14ac:dyDescent="0.3">
      <c r="A4" s="163">
        <v>4</v>
      </c>
      <c r="B4" s="164" t="s">
        <v>348</v>
      </c>
      <c r="C4" s="164" t="s">
        <v>349</v>
      </c>
      <c r="D4">
        <v>2</v>
      </c>
      <c r="E4" s="164"/>
    </row>
    <row r="5" spans="1:5" ht="14.4" x14ac:dyDescent="0.3">
      <c r="A5" s="163">
        <v>4</v>
      </c>
      <c r="B5" s="164" t="s">
        <v>350</v>
      </c>
      <c r="C5" s="164" t="s">
        <v>351</v>
      </c>
      <c r="D5">
        <v>1</v>
      </c>
      <c r="E5" s="164"/>
    </row>
    <row r="6" spans="1:5" ht="14.4" x14ac:dyDescent="0.3">
      <c r="A6" s="163">
        <v>4</v>
      </c>
      <c r="B6" s="164" t="s">
        <v>352</v>
      </c>
      <c r="C6" s="164" t="s">
        <v>353</v>
      </c>
      <c r="D6">
        <v>2</v>
      </c>
      <c r="E6" s="164"/>
    </row>
    <row r="7" spans="1:5" ht="14.4" x14ac:dyDescent="0.3">
      <c r="A7" s="163">
        <v>4</v>
      </c>
      <c r="B7" s="164" t="s">
        <v>354</v>
      </c>
      <c r="C7" s="164" t="s">
        <v>355</v>
      </c>
      <c r="D7">
        <v>1</v>
      </c>
      <c r="E7" s="164"/>
    </row>
    <row r="8" spans="1:5" ht="14.4" x14ac:dyDescent="0.3">
      <c r="A8" s="163">
        <v>4</v>
      </c>
      <c r="B8" s="164" t="s">
        <v>356</v>
      </c>
      <c r="C8" s="164" t="s">
        <v>357</v>
      </c>
      <c r="D8">
        <v>2</v>
      </c>
      <c r="E8" s="164"/>
    </row>
    <row r="9" spans="1:5" ht="14.4" x14ac:dyDescent="0.3">
      <c r="A9" s="163">
        <v>4</v>
      </c>
      <c r="B9" s="164" t="s">
        <v>358</v>
      </c>
      <c r="C9" s="164" t="s">
        <v>359</v>
      </c>
      <c r="D9">
        <v>2</v>
      </c>
      <c r="E9" s="164"/>
    </row>
    <row r="10" spans="1:5" ht="14.4" x14ac:dyDescent="0.3">
      <c r="A10" s="163">
        <v>4</v>
      </c>
      <c r="B10" s="164" t="s">
        <v>360</v>
      </c>
      <c r="C10" s="164" t="s">
        <v>361</v>
      </c>
      <c r="D10">
        <v>2</v>
      </c>
      <c r="E10" s="164"/>
    </row>
    <row r="11" spans="1:5" ht="14.4" x14ac:dyDescent="0.3">
      <c r="A11" s="163">
        <v>4</v>
      </c>
      <c r="B11" s="164" t="s">
        <v>362</v>
      </c>
      <c r="C11" s="164" t="s">
        <v>363</v>
      </c>
      <c r="D11">
        <v>1</v>
      </c>
      <c r="E11" s="164"/>
    </row>
    <row r="12" spans="1:5" ht="14.4" x14ac:dyDescent="0.3">
      <c r="A12" s="163">
        <v>4</v>
      </c>
      <c r="B12" s="164" t="s">
        <v>364</v>
      </c>
      <c r="C12" s="164" t="s">
        <v>365</v>
      </c>
      <c r="D12">
        <v>1</v>
      </c>
      <c r="E12" s="164"/>
    </row>
    <row r="13" spans="1:5" ht="14.4" x14ac:dyDescent="0.3">
      <c r="A13" s="163">
        <v>4</v>
      </c>
      <c r="B13" s="164" t="s">
        <v>366</v>
      </c>
      <c r="C13" s="164" t="s">
        <v>367</v>
      </c>
      <c r="D13">
        <v>2</v>
      </c>
      <c r="E13" s="164"/>
    </row>
    <row r="14" spans="1:5" ht="14.4" x14ac:dyDescent="0.3">
      <c r="A14" s="163">
        <v>4</v>
      </c>
      <c r="B14" s="164" t="s">
        <v>368</v>
      </c>
      <c r="C14" s="164" t="s">
        <v>369</v>
      </c>
      <c r="D14">
        <v>1</v>
      </c>
      <c r="E14" s="164"/>
    </row>
    <row r="15" spans="1:5" ht="14.4" x14ac:dyDescent="0.3">
      <c r="A15" s="163">
        <v>4</v>
      </c>
      <c r="B15" s="164" t="s">
        <v>370</v>
      </c>
      <c r="C15" s="164" t="s">
        <v>371</v>
      </c>
      <c r="D15">
        <v>2</v>
      </c>
      <c r="E15" s="164"/>
    </row>
    <row r="16" spans="1:5" ht="14.4" x14ac:dyDescent="0.3">
      <c r="A16" s="163">
        <v>4</v>
      </c>
      <c r="B16" s="164" t="s">
        <v>372</v>
      </c>
      <c r="C16" s="164" t="s">
        <v>373</v>
      </c>
      <c r="D16">
        <v>2</v>
      </c>
      <c r="E16" s="164"/>
    </row>
    <row r="17" spans="1:5" ht="14.4" x14ac:dyDescent="0.3">
      <c r="A17" s="163">
        <v>4</v>
      </c>
      <c r="B17" s="164" t="s">
        <v>374</v>
      </c>
      <c r="C17" s="164" t="s">
        <v>375</v>
      </c>
      <c r="D17">
        <v>1</v>
      </c>
      <c r="E17" s="164"/>
    </row>
    <row r="18" spans="1:5" ht="14.4" x14ac:dyDescent="0.3">
      <c r="A18" s="163">
        <v>4</v>
      </c>
      <c r="B18" s="164" t="s">
        <v>376</v>
      </c>
      <c r="C18" s="164" t="s">
        <v>377</v>
      </c>
      <c r="D18">
        <v>1</v>
      </c>
      <c r="E18" s="164"/>
    </row>
    <row r="19" spans="1:5" ht="14.4" x14ac:dyDescent="0.3">
      <c r="A19" s="163">
        <v>4</v>
      </c>
      <c r="B19" s="164" t="s">
        <v>378</v>
      </c>
      <c r="C19" s="164" t="s">
        <v>379</v>
      </c>
      <c r="D19">
        <v>1</v>
      </c>
      <c r="E19" s="164"/>
    </row>
    <row r="20" spans="1:5" ht="14.4" x14ac:dyDescent="0.3">
      <c r="A20" s="163">
        <v>4</v>
      </c>
      <c r="B20" s="164" t="s">
        <v>380</v>
      </c>
      <c r="C20" s="164" t="s">
        <v>381</v>
      </c>
      <c r="D20">
        <v>2</v>
      </c>
      <c r="E20" s="164"/>
    </row>
    <row r="21" spans="1:5" ht="14.4" x14ac:dyDescent="0.3">
      <c r="A21" s="163">
        <v>4</v>
      </c>
      <c r="B21" s="164" t="s">
        <v>382</v>
      </c>
      <c r="C21" s="164" t="s">
        <v>383</v>
      </c>
      <c r="D21">
        <v>1</v>
      </c>
      <c r="E21" s="164"/>
    </row>
    <row r="22" spans="1:5" ht="14.4" x14ac:dyDescent="0.3">
      <c r="A22" s="163">
        <v>4</v>
      </c>
      <c r="B22" s="164" t="s">
        <v>384</v>
      </c>
      <c r="C22" s="164" t="s">
        <v>385</v>
      </c>
      <c r="D22">
        <v>2</v>
      </c>
      <c r="E22" s="164"/>
    </row>
    <row r="23" spans="1:5" ht="14.4" x14ac:dyDescent="0.3">
      <c r="A23" s="163">
        <v>4</v>
      </c>
      <c r="B23" s="164" t="s">
        <v>386</v>
      </c>
      <c r="C23" s="164" t="s">
        <v>387</v>
      </c>
      <c r="D23">
        <v>2</v>
      </c>
      <c r="E23" s="164"/>
    </row>
    <row r="24" spans="1:5" ht="14.4" x14ac:dyDescent="0.3">
      <c r="A24" s="163">
        <v>4</v>
      </c>
      <c r="B24" s="164" t="s">
        <v>388</v>
      </c>
      <c r="C24" s="164" t="s">
        <v>389</v>
      </c>
      <c r="D24">
        <v>1</v>
      </c>
      <c r="E24" s="164"/>
    </row>
    <row r="25" spans="1:5" ht="14.4" x14ac:dyDescent="0.3">
      <c r="A25" s="163">
        <v>4</v>
      </c>
      <c r="B25" s="164" t="s">
        <v>390</v>
      </c>
      <c r="C25" s="164" t="s">
        <v>391</v>
      </c>
      <c r="D25">
        <v>2</v>
      </c>
      <c r="E25" s="164"/>
    </row>
    <row r="26" spans="1:5" ht="14.4" x14ac:dyDescent="0.3">
      <c r="A26" s="163">
        <v>4</v>
      </c>
      <c r="B26" s="164" t="s">
        <v>392</v>
      </c>
      <c r="C26" s="164" t="s">
        <v>393</v>
      </c>
      <c r="D26">
        <v>2</v>
      </c>
      <c r="E26" s="164"/>
    </row>
    <row r="27" spans="1:5" ht="14.4" x14ac:dyDescent="0.3">
      <c r="A27" s="163">
        <v>4</v>
      </c>
      <c r="B27" s="164" t="s">
        <v>394</v>
      </c>
      <c r="C27" s="164" t="s">
        <v>395</v>
      </c>
      <c r="D27" s="163">
        <v>2</v>
      </c>
      <c r="E27" s="164"/>
    </row>
    <row r="28" spans="1:5" ht="14.4" x14ac:dyDescent="0.3">
      <c r="A28" s="163">
        <v>4</v>
      </c>
      <c r="B28" s="164" t="s">
        <v>396</v>
      </c>
      <c r="C28" s="164" t="s">
        <v>397</v>
      </c>
      <c r="D28">
        <v>1</v>
      </c>
      <c r="E28" s="164"/>
    </row>
    <row r="29" spans="1:5" ht="14.4" x14ac:dyDescent="0.3">
      <c r="A29" s="163">
        <v>4</v>
      </c>
      <c r="B29" s="164" t="s">
        <v>398</v>
      </c>
      <c r="C29" s="164" t="s">
        <v>399</v>
      </c>
      <c r="D29">
        <v>1</v>
      </c>
      <c r="E29" s="164"/>
    </row>
    <row r="30" spans="1:5" ht="14.4" x14ac:dyDescent="0.3">
      <c r="A30" s="163">
        <v>4</v>
      </c>
      <c r="B30" s="164" t="s">
        <v>400</v>
      </c>
      <c r="C30" s="164" t="s">
        <v>401</v>
      </c>
      <c r="D30">
        <v>4</v>
      </c>
      <c r="E30" s="164"/>
    </row>
    <row r="31" spans="1:5" ht="14.4" x14ac:dyDescent="0.3">
      <c r="A31" s="163">
        <v>4</v>
      </c>
      <c r="B31" s="164" t="s">
        <v>402</v>
      </c>
      <c r="C31" s="164" t="s">
        <v>403</v>
      </c>
      <c r="D31">
        <v>1</v>
      </c>
      <c r="E31" s="164"/>
    </row>
    <row r="32" spans="1:5" ht="14.4" x14ac:dyDescent="0.3">
      <c r="A32" s="163">
        <v>4</v>
      </c>
      <c r="B32" s="164" t="s">
        <v>404</v>
      </c>
      <c r="C32" s="164" t="s">
        <v>405</v>
      </c>
      <c r="D32">
        <v>1</v>
      </c>
      <c r="E32" s="164"/>
    </row>
    <row r="33" spans="1:5" ht="14.4" x14ac:dyDescent="0.3">
      <c r="A33" s="163">
        <v>4</v>
      </c>
      <c r="B33" s="164" t="s">
        <v>406</v>
      </c>
      <c r="C33" s="164" t="s">
        <v>407</v>
      </c>
      <c r="D33" s="201">
        <v>1</v>
      </c>
      <c r="E33" s="164"/>
    </row>
    <row r="34" spans="1:5" ht="14.4" x14ac:dyDescent="0.3">
      <c r="A34" s="163">
        <v>4</v>
      </c>
      <c r="B34" s="164" t="s">
        <v>408</v>
      </c>
      <c r="C34" s="164" t="s">
        <v>409</v>
      </c>
      <c r="D34">
        <v>1</v>
      </c>
      <c r="E34" s="164"/>
    </row>
    <row r="35" spans="1:5" ht="14.4" x14ac:dyDescent="0.3">
      <c r="A35" s="163">
        <v>4</v>
      </c>
      <c r="B35" s="164" t="s">
        <v>410</v>
      </c>
      <c r="C35" s="164" t="s">
        <v>411</v>
      </c>
      <c r="D35">
        <v>1</v>
      </c>
      <c r="E35" s="164"/>
    </row>
    <row r="36" spans="1:5" ht="14.4" x14ac:dyDescent="0.3">
      <c r="A36" s="163">
        <v>4</v>
      </c>
      <c r="B36" s="164" t="s">
        <v>412</v>
      </c>
      <c r="C36" s="164" t="s">
        <v>413</v>
      </c>
      <c r="D36">
        <v>2</v>
      </c>
      <c r="E36" s="164"/>
    </row>
    <row r="37" spans="1:5" ht="14.4" x14ac:dyDescent="0.3">
      <c r="A37" s="163">
        <v>4</v>
      </c>
      <c r="B37" s="164" t="s">
        <v>414</v>
      </c>
      <c r="C37" s="164" t="s">
        <v>415</v>
      </c>
      <c r="D37">
        <v>2</v>
      </c>
      <c r="E37" s="164"/>
    </row>
    <row r="38" spans="1:5" ht="14.4" x14ac:dyDescent="0.3">
      <c r="A38" s="163">
        <v>4</v>
      </c>
      <c r="B38" s="164" t="s">
        <v>416</v>
      </c>
      <c r="C38" s="164" t="s">
        <v>417</v>
      </c>
      <c r="D38">
        <v>1</v>
      </c>
      <c r="E38" s="164"/>
    </row>
    <row r="39" spans="1:5" ht="14.4" x14ac:dyDescent="0.3">
      <c r="A39" s="163">
        <v>4</v>
      </c>
      <c r="B39" s="164" t="s">
        <v>418</v>
      </c>
      <c r="C39" s="164" t="s">
        <v>419</v>
      </c>
      <c r="D39">
        <v>1</v>
      </c>
      <c r="E39" s="164"/>
    </row>
    <row r="40" spans="1:5" ht="14.4" x14ac:dyDescent="0.3">
      <c r="A40" s="163">
        <v>4</v>
      </c>
      <c r="B40" s="164" t="s">
        <v>420</v>
      </c>
      <c r="C40" s="164" t="s">
        <v>421</v>
      </c>
      <c r="D40">
        <v>1</v>
      </c>
      <c r="E40" s="164"/>
    </row>
    <row r="41" spans="1:5" ht="14.4" x14ac:dyDescent="0.3">
      <c r="A41" s="163">
        <v>4</v>
      </c>
      <c r="B41" s="164" t="s">
        <v>422</v>
      </c>
      <c r="C41" s="164" t="s">
        <v>423</v>
      </c>
      <c r="D41">
        <v>1</v>
      </c>
      <c r="E41" s="164"/>
    </row>
    <row r="42" spans="1:5" ht="14.4" x14ac:dyDescent="0.3">
      <c r="A42" s="163">
        <v>4</v>
      </c>
      <c r="B42" s="164" t="s">
        <v>424</v>
      </c>
      <c r="C42" s="164" t="s">
        <v>425</v>
      </c>
      <c r="D42">
        <v>1</v>
      </c>
      <c r="E42" s="164"/>
    </row>
    <row r="43" spans="1:5" ht="14.4" x14ac:dyDescent="0.3">
      <c r="A43" s="163">
        <v>4</v>
      </c>
      <c r="B43" s="164" t="s">
        <v>426</v>
      </c>
      <c r="C43" s="164" t="s">
        <v>427</v>
      </c>
      <c r="D43">
        <v>2</v>
      </c>
      <c r="E43" s="164"/>
    </row>
    <row r="44" spans="1:5" ht="14.4" x14ac:dyDescent="0.3">
      <c r="A44" s="163">
        <v>4</v>
      </c>
      <c r="B44" s="164" t="s">
        <v>428</v>
      </c>
      <c r="C44" s="164" t="s">
        <v>429</v>
      </c>
      <c r="D44">
        <v>1</v>
      </c>
      <c r="E44" s="164"/>
    </row>
    <row r="45" spans="1:5" ht="14.4" x14ac:dyDescent="0.3">
      <c r="A45" s="163">
        <v>4</v>
      </c>
      <c r="B45" s="164" t="s">
        <v>430</v>
      </c>
      <c r="C45" s="164" t="s">
        <v>431</v>
      </c>
      <c r="D45">
        <v>1</v>
      </c>
      <c r="E45" s="164"/>
    </row>
    <row r="46" spans="1:5" ht="14.4" x14ac:dyDescent="0.3">
      <c r="A46" s="163">
        <v>4</v>
      </c>
      <c r="B46" s="164" t="s">
        <v>432</v>
      </c>
      <c r="C46" s="164" t="s">
        <v>433</v>
      </c>
      <c r="D46">
        <v>1</v>
      </c>
      <c r="E46" s="164"/>
    </row>
    <row r="47" spans="1:5" ht="14.4" x14ac:dyDescent="0.3">
      <c r="A47" s="163">
        <v>4</v>
      </c>
      <c r="B47" s="164" t="s">
        <v>434</v>
      </c>
      <c r="C47" s="164" t="s">
        <v>435</v>
      </c>
      <c r="D47">
        <v>1</v>
      </c>
      <c r="E47" s="164"/>
    </row>
    <row r="48" spans="1:5" ht="14.4" x14ac:dyDescent="0.3">
      <c r="A48" s="163">
        <v>4</v>
      </c>
      <c r="B48" s="164" t="s">
        <v>436</v>
      </c>
      <c r="C48" s="164" t="s">
        <v>437</v>
      </c>
      <c r="D48">
        <v>1</v>
      </c>
      <c r="E48" s="164"/>
    </row>
    <row r="49" spans="1:5" ht="14.4" x14ac:dyDescent="0.3">
      <c r="A49" s="163">
        <v>4</v>
      </c>
      <c r="B49" s="164" t="s">
        <v>438</v>
      </c>
      <c r="C49" s="164" t="s">
        <v>439</v>
      </c>
      <c r="D49">
        <v>1</v>
      </c>
      <c r="E49" s="164"/>
    </row>
    <row r="50" spans="1:5" ht="14.4" x14ac:dyDescent="0.3">
      <c r="A50" s="163">
        <v>4</v>
      </c>
      <c r="B50" s="164" t="s">
        <v>440</v>
      </c>
      <c r="C50" s="164" t="s">
        <v>441</v>
      </c>
      <c r="D50">
        <v>1</v>
      </c>
      <c r="E50" s="164"/>
    </row>
    <row r="51" spans="1:5" ht="14.4" x14ac:dyDescent="0.3">
      <c r="A51" s="163">
        <v>4</v>
      </c>
      <c r="B51" s="164" t="s">
        <v>442</v>
      </c>
      <c r="C51" s="164" t="s">
        <v>443</v>
      </c>
      <c r="D51">
        <v>3</v>
      </c>
      <c r="E51" s="164"/>
    </row>
    <row r="52" spans="1:5" ht="14.4" x14ac:dyDescent="0.3">
      <c r="A52" s="163">
        <v>4</v>
      </c>
      <c r="B52" s="164" t="s">
        <v>444</v>
      </c>
      <c r="C52" s="164" t="s">
        <v>445</v>
      </c>
      <c r="D52">
        <v>1</v>
      </c>
      <c r="E52" s="164"/>
    </row>
    <row r="53" spans="1:5" ht="14.4" x14ac:dyDescent="0.3">
      <c r="A53" s="163">
        <v>4</v>
      </c>
      <c r="B53" s="164" t="s">
        <v>446</v>
      </c>
      <c r="C53" s="164" t="s">
        <v>447</v>
      </c>
      <c r="D53">
        <v>1</v>
      </c>
      <c r="E53" s="164"/>
    </row>
    <row r="54" spans="1:5" ht="14.4" x14ac:dyDescent="0.3">
      <c r="A54" s="163">
        <v>4</v>
      </c>
      <c r="B54" s="164" t="s">
        <v>448</v>
      </c>
      <c r="C54" s="164" t="s">
        <v>449</v>
      </c>
      <c r="D54">
        <v>1</v>
      </c>
      <c r="E54" s="164"/>
    </row>
    <row r="55" spans="1:5" ht="14.4" x14ac:dyDescent="0.3">
      <c r="A55" s="163">
        <v>4</v>
      </c>
      <c r="B55" s="164" t="s">
        <v>450</v>
      </c>
      <c r="C55" s="164" t="s">
        <v>451</v>
      </c>
      <c r="D55">
        <v>1</v>
      </c>
      <c r="E55" s="164"/>
    </row>
    <row r="56" spans="1:5" ht="14.4" x14ac:dyDescent="0.3">
      <c r="A56" s="163">
        <v>4</v>
      </c>
      <c r="B56" s="164" t="s">
        <v>452</v>
      </c>
      <c r="C56" s="164" t="s">
        <v>453</v>
      </c>
      <c r="D56">
        <v>1</v>
      </c>
      <c r="E56" s="164"/>
    </row>
    <row r="57" spans="1:5" ht="14.4" x14ac:dyDescent="0.3">
      <c r="A57" s="163">
        <v>4</v>
      </c>
      <c r="B57" s="164" t="s">
        <v>454</v>
      </c>
      <c r="C57" s="164" t="s">
        <v>455</v>
      </c>
      <c r="D57">
        <v>1</v>
      </c>
      <c r="E57" s="164"/>
    </row>
    <row r="58" spans="1:5" ht="14.4" x14ac:dyDescent="0.3">
      <c r="A58" s="163">
        <v>4</v>
      </c>
      <c r="B58" s="164" t="s">
        <v>456</v>
      </c>
      <c r="C58" s="164" t="s">
        <v>457</v>
      </c>
      <c r="D58">
        <v>1</v>
      </c>
      <c r="E58" s="164"/>
    </row>
    <row r="59" spans="1:5" ht="14.4" x14ac:dyDescent="0.3">
      <c r="A59" s="163">
        <v>4</v>
      </c>
      <c r="B59" s="164" t="s">
        <v>458</v>
      </c>
      <c r="C59" s="164" t="s">
        <v>459</v>
      </c>
      <c r="D59" s="163">
        <v>1</v>
      </c>
      <c r="E59" s="164"/>
    </row>
    <row r="60" spans="1:5" ht="14.4" x14ac:dyDescent="0.3">
      <c r="A60" s="163">
        <v>4</v>
      </c>
      <c r="B60" s="164" t="s">
        <v>460</v>
      </c>
      <c r="C60" s="164" t="s">
        <v>461</v>
      </c>
      <c r="D60" s="163">
        <v>1</v>
      </c>
      <c r="E60" s="164"/>
    </row>
    <row r="61" spans="1:5" ht="14.4" x14ac:dyDescent="0.3">
      <c r="A61" s="163">
        <v>4</v>
      </c>
      <c r="B61" s="164" t="s">
        <v>462</v>
      </c>
      <c r="C61" s="164" t="s">
        <v>463</v>
      </c>
      <c r="D61" s="163">
        <v>1</v>
      </c>
      <c r="E61" s="164"/>
    </row>
    <row r="62" spans="1:5" ht="14.4" x14ac:dyDescent="0.3">
      <c r="A62" s="163">
        <v>4</v>
      </c>
      <c r="B62" s="164" t="s">
        <v>464</v>
      </c>
      <c r="C62" s="164" t="s">
        <v>463</v>
      </c>
      <c r="D62" s="163">
        <v>1</v>
      </c>
      <c r="E62" s="164"/>
    </row>
    <row r="63" spans="1:5" ht="14.4" x14ac:dyDescent="0.3">
      <c r="A63" s="163">
        <v>4</v>
      </c>
      <c r="B63" s="164" t="s">
        <v>465</v>
      </c>
      <c r="C63" s="164" t="s">
        <v>466</v>
      </c>
      <c r="D63" s="163">
        <v>1</v>
      </c>
      <c r="E63" s="164"/>
    </row>
    <row r="64" spans="1:5" ht="14.4" x14ac:dyDescent="0.3">
      <c r="A64" s="163">
        <v>4</v>
      </c>
      <c r="B64" s="164" t="s">
        <v>467</v>
      </c>
      <c r="C64" s="164" t="s">
        <v>468</v>
      </c>
      <c r="D64" s="163">
        <v>1</v>
      </c>
      <c r="E64" s="164"/>
    </row>
    <row r="65" spans="1:5" ht="14.4" x14ac:dyDescent="0.3">
      <c r="A65" s="163">
        <v>4</v>
      </c>
      <c r="B65" s="164" t="s">
        <v>469</v>
      </c>
      <c r="C65" s="164" t="s">
        <v>470</v>
      </c>
      <c r="D65" s="163">
        <v>1</v>
      </c>
      <c r="E65" s="164"/>
    </row>
    <row r="66" spans="1:5" ht="14.4" x14ac:dyDescent="0.3">
      <c r="A66" s="163">
        <v>4</v>
      </c>
      <c r="B66" s="164" t="s">
        <v>471</v>
      </c>
      <c r="C66" s="164" t="s">
        <v>472</v>
      </c>
      <c r="D66" s="163">
        <v>1</v>
      </c>
      <c r="E66" s="164"/>
    </row>
    <row r="67" spans="1:5" ht="14.4" x14ac:dyDescent="0.3">
      <c r="A67" s="163">
        <v>4</v>
      </c>
      <c r="B67" s="164" t="s">
        <v>473</v>
      </c>
      <c r="C67" s="164" t="s">
        <v>474</v>
      </c>
      <c r="D67" s="163">
        <v>1</v>
      </c>
      <c r="E67" s="164"/>
    </row>
    <row r="68" spans="1:5" ht="14.4" x14ac:dyDescent="0.3">
      <c r="A68" s="163">
        <v>4</v>
      </c>
      <c r="B68" s="164" t="s">
        <v>475</v>
      </c>
      <c r="C68" s="164" t="s">
        <v>476</v>
      </c>
      <c r="D68" s="163">
        <v>1</v>
      </c>
      <c r="E68" s="164"/>
    </row>
    <row r="69" spans="1:5" ht="14.4" x14ac:dyDescent="0.3">
      <c r="A69" s="163">
        <v>4</v>
      </c>
      <c r="B69" s="164" t="s">
        <v>477</v>
      </c>
      <c r="C69" s="164" t="s">
        <v>478</v>
      </c>
      <c r="D69" s="163">
        <v>1</v>
      </c>
      <c r="E69" s="164"/>
    </row>
    <row r="70" spans="1:5" ht="14.4" x14ac:dyDescent="0.3">
      <c r="A70" s="163">
        <v>4</v>
      </c>
      <c r="B70" s="164" t="s">
        <v>479</v>
      </c>
      <c r="C70" s="164" t="s">
        <v>480</v>
      </c>
      <c r="D70" s="163">
        <v>1</v>
      </c>
      <c r="E70" s="164"/>
    </row>
    <row r="71" spans="1:5" ht="14.4" x14ac:dyDescent="0.3">
      <c r="A71" s="163">
        <v>4</v>
      </c>
      <c r="B71" s="164" t="s">
        <v>481</v>
      </c>
      <c r="C71" s="164" t="s">
        <v>482</v>
      </c>
      <c r="D71" s="163">
        <v>1</v>
      </c>
      <c r="E71" s="164"/>
    </row>
    <row r="72" spans="1:5" ht="14.4" x14ac:dyDescent="0.3">
      <c r="A72" s="163">
        <v>4</v>
      </c>
      <c r="B72" s="164" t="s">
        <v>483</v>
      </c>
      <c r="C72" s="164" t="s">
        <v>484</v>
      </c>
      <c r="D72" s="163">
        <v>1</v>
      </c>
      <c r="E72" s="164"/>
    </row>
    <row r="73" spans="1:5" ht="14.4" x14ac:dyDescent="0.3">
      <c r="A73" s="163">
        <v>4</v>
      </c>
      <c r="B73" s="164" t="s">
        <v>485</v>
      </c>
      <c r="C73" s="164" t="s">
        <v>486</v>
      </c>
      <c r="D73" s="163">
        <v>1</v>
      </c>
      <c r="E73" s="164"/>
    </row>
    <row r="74" spans="1:5" ht="14.4" x14ac:dyDescent="0.3">
      <c r="A74" s="163">
        <v>4</v>
      </c>
      <c r="B74" s="164" t="s">
        <v>487</v>
      </c>
      <c r="C74" s="164" t="s">
        <v>488</v>
      </c>
      <c r="D74" s="163">
        <v>1</v>
      </c>
      <c r="E74" s="164"/>
    </row>
    <row r="75" spans="1:5" ht="14.4" x14ac:dyDescent="0.3">
      <c r="A75" s="163">
        <v>4</v>
      </c>
      <c r="B75" s="164" t="s">
        <v>489</v>
      </c>
      <c r="C75" s="164" t="s">
        <v>488</v>
      </c>
      <c r="D75" s="163">
        <v>1</v>
      </c>
      <c r="E75" s="164"/>
    </row>
    <row r="76" spans="1:5" ht="14.4" x14ac:dyDescent="0.3">
      <c r="A76" s="163">
        <v>4</v>
      </c>
      <c r="B76" s="164" t="s">
        <v>490</v>
      </c>
      <c r="C76" s="164" t="s">
        <v>491</v>
      </c>
      <c r="D76" s="163">
        <v>1</v>
      </c>
      <c r="E76" s="164"/>
    </row>
    <row r="77" spans="1:5" ht="14.4" x14ac:dyDescent="0.3">
      <c r="A77" s="163">
        <v>4</v>
      </c>
      <c r="B77" s="164" t="s">
        <v>492</v>
      </c>
      <c r="C77" s="164" t="s">
        <v>493</v>
      </c>
      <c r="D77" s="163">
        <v>1</v>
      </c>
      <c r="E77" s="164"/>
    </row>
    <row r="78" spans="1:5" ht="14.4" x14ac:dyDescent="0.3">
      <c r="A78" s="163">
        <v>4</v>
      </c>
      <c r="B78" s="164" t="s">
        <v>494</v>
      </c>
      <c r="C78" s="164" t="s">
        <v>495</v>
      </c>
      <c r="D78" s="163">
        <v>1</v>
      </c>
      <c r="E78" s="164"/>
    </row>
    <row r="79" spans="1:5" ht="14.4" x14ac:dyDescent="0.3">
      <c r="A79" s="163">
        <v>4</v>
      </c>
      <c r="B79" s="164" t="s">
        <v>496</v>
      </c>
      <c r="C79" s="164" t="s">
        <v>497</v>
      </c>
      <c r="D79" s="163">
        <v>1</v>
      </c>
      <c r="E79" s="164"/>
    </row>
    <row r="80" spans="1:5" ht="14.4" x14ac:dyDescent="0.3">
      <c r="A80" s="163">
        <v>4</v>
      </c>
      <c r="B80" s="164" t="s">
        <v>498</v>
      </c>
      <c r="C80" s="164" t="s">
        <v>499</v>
      </c>
      <c r="D80" s="163">
        <v>1</v>
      </c>
      <c r="E80" s="164"/>
    </row>
    <row r="81" spans="1:5" ht="14.4" x14ac:dyDescent="0.3">
      <c r="A81" s="163">
        <v>4</v>
      </c>
      <c r="B81" s="164" t="s">
        <v>500</v>
      </c>
      <c r="C81" s="164" t="s">
        <v>501</v>
      </c>
      <c r="D81" s="163">
        <v>1</v>
      </c>
      <c r="E81" s="164"/>
    </row>
    <row r="82" spans="1:5" ht="14.4" x14ac:dyDescent="0.3">
      <c r="A82" s="163">
        <v>4</v>
      </c>
      <c r="B82" s="164" t="s">
        <v>502</v>
      </c>
      <c r="C82" s="164" t="s">
        <v>503</v>
      </c>
      <c r="D82" s="163">
        <v>1</v>
      </c>
      <c r="E82" s="164"/>
    </row>
    <row r="83" spans="1:5" ht="14.4" x14ac:dyDescent="0.3">
      <c r="A83" s="163">
        <v>4</v>
      </c>
      <c r="B83" s="164" t="s">
        <v>504</v>
      </c>
      <c r="C83" s="164" t="s">
        <v>505</v>
      </c>
      <c r="D83" s="163">
        <v>1</v>
      </c>
      <c r="E83" s="164"/>
    </row>
    <row r="84" spans="1:5" ht="14.4" x14ac:dyDescent="0.3">
      <c r="A84" s="163">
        <v>4</v>
      </c>
      <c r="B84" s="164" t="s">
        <v>506</v>
      </c>
      <c r="C84" s="164" t="s">
        <v>507</v>
      </c>
      <c r="D84" s="163">
        <v>1</v>
      </c>
      <c r="E84" s="164"/>
    </row>
    <row r="85" spans="1:5" ht="14.4" x14ac:dyDescent="0.3">
      <c r="A85" s="163">
        <v>4</v>
      </c>
      <c r="B85" s="164" t="s">
        <v>508</v>
      </c>
      <c r="C85" s="164" t="s">
        <v>509</v>
      </c>
      <c r="D85" s="163">
        <v>1</v>
      </c>
      <c r="E85" s="164"/>
    </row>
    <row r="86" spans="1:5" ht="14.4" x14ac:dyDescent="0.3">
      <c r="A86" s="163">
        <v>4</v>
      </c>
      <c r="B86" s="164" t="s">
        <v>510</v>
      </c>
      <c r="C86" s="164" t="s">
        <v>511</v>
      </c>
      <c r="D86" s="163">
        <v>1</v>
      </c>
      <c r="E86" s="164"/>
    </row>
    <row r="87" spans="1:5" ht="14.4" x14ac:dyDescent="0.3">
      <c r="A87" s="163">
        <v>4</v>
      </c>
      <c r="B87" s="164" t="s">
        <v>512</v>
      </c>
      <c r="C87" s="164" t="s">
        <v>513</v>
      </c>
      <c r="D87" s="163">
        <v>1</v>
      </c>
      <c r="E87" s="164"/>
    </row>
    <row r="88" spans="1:5" ht="14.4" x14ac:dyDescent="0.3">
      <c r="A88" s="163">
        <v>4</v>
      </c>
      <c r="B88" s="164" t="s">
        <v>514</v>
      </c>
      <c r="C88" s="164" t="s">
        <v>515</v>
      </c>
      <c r="D88" s="163">
        <v>1</v>
      </c>
      <c r="E88" s="164"/>
    </row>
    <row r="89" spans="1:5" ht="14.4" x14ac:dyDescent="0.3">
      <c r="A89" s="163">
        <v>4</v>
      </c>
      <c r="B89" s="164" t="s">
        <v>516</v>
      </c>
      <c r="C89" s="164" t="s">
        <v>517</v>
      </c>
      <c r="D89" s="163">
        <v>1</v>
      </c>
      <c r="E89" s="164"/>
    </row>
    <row r="90" spans="1:5" ht="14.4" x14ac:dyDescent="0.3">
      <c r="A90" s="163">
        <v>4</v>
      </c>
      <c r="B90" s="164" t="s">
        <v>520</v>
      </c>
      <c r="C90" s="164" t="s">
        <v>521</v>
      </c>
      <c r="D90" s="163">
        <v>1</v>
      </c>
      <c r="E90" s="164"/>
    </row>
    <row r="91" spans="1:5" ht="14.4" x14ac:dyDescent="0.3">
      <c r="A91" s="163">
        <v>4</v>
      </c>
      <c r="B91" s="164" t="s">
        <v>524</v>
      </c>
      <c r="C91" s="164" t="s">
        <v>525</v>
      </c>
      <c r="D91" s="163">
        <v>1</v>
      </c>
      <c r="E91" s="164"/>
    </row>
    <row r="92" spans="1:5" ht="14.4" x14ac:dyDescent="0.3">
      <c r="A92" s="163">
        <v>4</v>
      </c>
      <c r="B92" s="164" t="s">
        <v>528</v>
      </c>
      <c r="C92" s="164" t="s">
        <v>529</v>
      </c>
      <c r="D92" s="163">
        <v>1</v>
      </c>
      <c r="E92" s="164"/>
    </row>
    <row r="93" spans="1:5" ht="14.4" x14ac:dyDescent="0.3">
      <c r="A93" s="163">
        <v>4</v>
      </c>
      <c r="B93" s="164" t="s">
        <v>532</v>
      </c>
      <c r="C93" s="164" t="s">
        <v>533</v>
      </c>
      <c r="D93" s="163">
        <v>1</v>
      </c>
      <c r="E93" s="164"/>
    </row>
    <row r="94" spans="1:5" ht="14.4" x14ac:dyDescent="0.3">
      <c r="A94" s="163">
        <v>4</v>
      </c>
      <c r="B94" s="164" t="s">
        <v>536</v>
      </c>
      <c r="C94" s="164" t="s">
        <v>537</v>
      </c>
      <c r="D94" s="163">
        <v>1</v>
      </c>
      <c r="E94" s="164"/>
    </row>
    <row r="95" spans="1:5" ht="14.4" x14ac:dyDescent="0.3">
      <c r="A95" s="163">
        <v>4</v>
      </c>
      <c r="B95" s="164" t="s">
        <v>540</v>
      </c>
      <c r="C95" s="164" t="s">
        <v>541</v>
      </c>
      <c r="D95" s="163">
        <v>1</v>
      </c>
      <c r="E95" s="164"/>
    </row>
    <row r="96" spans="1:5" ht="14.4" x14ac:dyDescent="0.3">
      <c r="A96" s="163">
        <v>4</v>
      </c>
      <c r="B96" s="164" t="s">
        <v>544</v>
      </c>
      <c r="C96" s="164" t="s">
        <v>545</v>
      </c>
      <c r="D96" s="163">
        <v>1</v>
      </c>
      <c r="E96" s="164"/>
    </row>
    <row r="97" spans="1:5" ht="14.4" x14ac:dyDescent="0.3">
      <c r="A97" s="163">
        <v>4</v>
      </c>
      <c r="B97" s="164" t="s">
        <v>548</v>
      </c>
      <c r="C97" s="164" t="s">
        <v>549</v>
      </c>
      <c r="D97" s="163">
        <v>1</v>
      </c>
      <c r="E97" s="164"/>
    </row>
    <row r="98" spans="1:5" ht="14.4" x14ac:dyDescent="0.3">
      <c r="A98" s="163">
        <v>4</v>
      </c>
      <c r="B98" s="164" t="s">
        <v>552</v>
      </c>
      <c r="C98" s="164" t="s">
        <v>553</v>
      </c>
      <c r="D98" s="163">
        <v>1</v>
      </c>
      <c r="E98" s="164"/>
    </row>
    <row r="99" spans="1:5" ht="14.4" x14ac:dyDescent="0.3">
      <c r="A99" s="163">
        <v>4</v>
      </c>
      <c r="B99" s="164" t="s">
        <v>556</v>
      </c>
      <c r="C99" s="164" t="s">
        <v>557</v>
      </c>
      <c r="D99" s="163">
        <v>1</v>
      </c>
      <c r="E99" s="164"/>
    </row>
    <row r="100" spans="1:5" ht="14.4" x14ac:dyDescent="0.3">
      <c r="A100" s="163">
        <v>4</v>
      </c>
      <c r="B100" s="164" t="s">
        <v>560</v>
      </c>
      <c r="C100" s="164" t="s">
        <v>561</v>
      </c>
      <c r="D100" s="163">
        <v>1</v>
      </c>
      <c r="E100" s="164"/>
    </row>
    <row r="101" spans="1:5" ht="14.4" x14ac:dyDescent="0.3">
      <c r="A101" s="163">
        <v>4</v>
      </c>
      <c r="B101" s="164" t="s">
        <v>564</v>
      </c>
      <c r="C101" s="164" t="s">
        <v>565</v>
      </c>
      <c r="D101" s="163">
        <v>1</v>
      </c>
      <c r="E101" s="164"/>
    </row>
    <row r="102" spans="1:5" ht="14.4" x14ac:dyDescent="0.3">
      <c r="A102" s="163">
        <v>4</v>
      </c>
      <c r="B102" s="164" t="s">
        <v>568</v>
      </c>
      <c r="C102" s="164" t="s">
        <v>569</v>
      </c>
      <c r="D102" s="163">
        <v>1</v>
      </c>
      <c r="E102" s="164"/>
    </row>
    <row r="103" spans="1:5" ht="14.4" x14ac:dyDescent="0.3">
      <c r="A103" s="163">
        <v>4</v>
      </c>
      <c r="B103" s="164" t="s">
        <v>572</v>
      </c>
      <c r="C103" s="164" t="s">
        <v>573</v>
      </c>
      <c r="D103" s="163">
        <v>1</v>
      </c>
      <c r="E103" s="164"/>
    </row>
    <row r="104" spans="1:5" ht="14.4" x14ac:dyDescent="0.3">
      <c r="A104" s="163">
        <v>4</v>
      </c>
      <c r="B104" s="164" t="s">
        <v>576</v>
      </c>
      <c r="C104" s="164" t="s">
        <v>577</v>
      </c>
      <c r="D104" s="163">
        <v>1</v>
      </c>
      <c r="E104" s="164"/>
    </row>
    <row r="105" spans="1:5" ht="14.4" x14ac:dyDescent="0.3">
      <c r="A105" s="163">
        <v>4</v>
      </c>
      <c r="B105" s="164" t="s">
        <v>580</v>
      </c>
      <c r="C105" s="164" t="s">
        <v>581</v>
      </c>
      <c r="D105" s="163">
        <v>1</v>
      </c>
      <c r="E105" s="164"/>
    </row>
    <row r="106" spans="1:5" ht="14.4" x14ac:dyDescent="0.3">
      <c r="A106" s="163">
        <v>4</v>
      </c>
      <c r="B106" s="164" t="s">
        <v>584</v>
      </c>
      <c r="C106" s="164" t="s">
        <v>585</v>
      </c>
      <c r="D106" s="163">
        <v>1</v>
      </c>
      <c r="E106" s="164"/>
    </row>
    <row r="107" spans="1:5" ht="14.4" x14ac:dyDescent="0.3">
      <c r="A107" s="163">
        <v>4</v>
      </c>
      <c r="B107" s="164" t="s">
        <v>587</v>
      </c>
      <c r="C107" s="164" t="s">
        <v>588</v>
      </c>
      <c r="D107" s="163">
        <v>1</v>
      </c>
      <c r="E107" s="164"/>
    </row>
    <row r="108" spans="1:5" ht="14.4" x14ac:dyDescent="0.3">
      <c r="A108" s="163">
        <v>4</v>
      </c>
      <c r="B108" s="164" t="s">
        <v>591</v>
      </c>
      <c r="C108" s="164" t="s">
        <v>592</v>
      </c>
      <c r="D108" s="163">
        <v>1</v>
      </c>
      <c r="E108" s="164"/>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9060-8F85-483C-873D-6D18A9CC6F2A}">
  <dimension ref="A1:E45"/>
  <sheetViews>
    <sheetView tabSelected="1" workbookViewId="0">
      <selection activeCell="F1" sqref="F1:N1048576"/>
    </sheetView>
  </sheetViews>
  <sheetFormatPr baseColWidth="10" defaultRowHeight="13.2" x14ac:dyDescent="0.25"/>
  <cols>
    <col min="3" max="3" width="71.6640625" bestFit="1" customWidth="1"/>
  </cols>
  <sheetData>
    <row r="1" spans="1:5" ht="28.8" x14ac:dyDescent="0.3">
      <c r="A1" s="203" t="s">
        <v>77</v>
      </c>
      <c r="B1" s="167" t="s">
        <v>78</v>
      </c>
      <c r="C1" s="168" t="s">
        <v>72</v>
      </c>
      <c r="D1" s="169" t="s">
        <v>79</v>
      </c>
      <c r="E1" s="167" t="s">
        <v>80</v>
      </c>
    </row>
    <row r="2" spans="1:5" ht="14.4" x14ac:dyDescent="0.3">
      <c r="A2" s="163">
        <v>5</v>
      </c>
      <c r="B2" s="164" t="s">
        <v>597</v>
      </c>
      <c r="C2" s="164" t="s">
        <v>598</v>
      </c>
      <c r="D2" s="163">
        <v>1</v>
      </c>
      <c r="E2" s="164"/>
    </row>
    <row r="3" spans="1:5" ht="14.4" x14ac:dyDescent="0.3">
      <c r="A3" s="163">
        <v>5</v>
      </c>
      <c r="B3" s="164" t="s">
        <v>599</v>
      </c>
      <c r="C3" s="164" t="s">
        <v>600</v>
      </c>
      <c r="D3" s="163">
        <v>1</v>
      </c>
      <c r="E3" s="164"/>
    </row>
    <row r="4" spans="1:5" ht="14.4" x14ac:dyDescent="0.3">
      <c r="A4" s="163">
        <v>5</v>
      </c>
      <c r="B4" s="164" t="s">
        <v>601</v>
      </c>
      <c r="C4" s="164" t="s">
        <v>602</v>
      </c>
      <c r="D4" s="163">
        <v>1</v>
      </c>
      <c r="E4" s="164"/>
    </row>
    <row r="5" spans="1:5" ht="14.4" x14ac:dyDescent="0.3">
      <c r="A5" s="163">
        <v>5</v>
      </c>
      <c r="B5" s="164" t="s">
        <v>603</v>
      </c>
      <c r="C5" s="164" t="s">
        <v>604</v>
      </c>
      <c r="D5" s="163">
        <v>1</v>
      </c>
      <c r="E5" s="164"/>
    </row>
    <row r="6" spans="1:5" ht="14.4" x14ac:dyDescent="0.3">
      <c r="A6" s="163">
        <v>5</v>
      </c>
      <c r="B6" s="164" t="s">
        <v>605</v>
      </c>
      <c r="C6" s="164" t="s">
        <v>606</v>
      </c>
      <c r="D6" s="163">
        <v>1</v>
      </c>
      <c r="E6" s="164"/>
    </row>
    <row r="7" spans="1:5" ht="14.4" x14ac:dyDescent="0.3">
      <c r="A7" s="163">
        <v>5</v>
      </c>
      <c r="B7" s="164" t="s">
        <v>607</v>
      </c>
      <c r="C7" s="164" t="s">
        <v>608</v>
      </c>
      <c r="D7" s="163">
        <v>1</v>
      </c>
      <c r="E7" s="164"/>
    </row>
    <row r="8" spans="1:5" ht="14.4" x14ac:dyDescent="0.3">
      <c r="A8" s="163">
        <v>5</v>
      </c>
      <c r="B8" s="164" t="s">
        <v>609</v>
      </c>
      <c r="C8" s="164" t="s">
        <v>610</v>
      </c>
      <c r="D8" s="163">
        <v>1</v>
      </c>
      <c r="E8" s="164"/>
    </row>
    <row r="9" spans="1:5" ht="14.4" x14ac:dyDescent="0.3">
      <c r="A9" s="163">
        <v>5</v>
      </c>
      <c r="B9" s="164" t="s">
        <v>611</v>
      </c>
      <c r="C9" s="164" t="s">
        <v>612</v>
      </c>
      <c r="D9" s="163">
        <v>1</v>
      </c>
      <c r="E9" s="164"/>
    </row>
    <row r="10" spans="1:5" ht="14.4" x14ac:dyDescent="0.3">
      <c r="A10" s="163">
        <v>5</v>
      </c>
      <c r="B10" s="164" t="s">
        <v>613</v>
      </c>
      <c r="C10" s="164" t="s">
        <v>614</v>
      </c>
      <c r="D10" s="163">
        <v>1</v>
      </c>
      <c r="E10" s="164"/>
    </row>
    <row r="11" spans="1:5" ht="14.4" x14ac:dyDescent="0.3">
      <c r="A11" s="163">
        <v>5</v>
      </c>
      <c r="B11" s="164" t="s">
        <v>615</v>
      </c>
      <c r="C11" s="164" t="s">
        <v>616</v>
      </c>
      <c r="D11" s="163">
        <v>1</v>
      </c>
      <c r="E11" s="164"/>
    </row>
    <row r="12" spans="1:5" ht="14.4" x14ac:dyDescent="0.3">
      <c r="A12" s="163">
        <v>5</v>
      </c>
      <c r="B12" s="164" t="s">
        <v>617</v>
      </c>
      <c r="C12" s="164" t="s">
        <v>618</v>
      </c>
      <c r="D12" s="163">
        <v>1</v>
      </c>
      <c r="E12" s="164"/>
    </row>
    <row r="13" spans="1:5" ht="14.4" x14ac:dyDescent="0.3">
      <c r="A13" s="163">
        <v>5</v>
      </c>
      <c r="B13" s="164" t="s">
        <v>619</v>
      </c>
      <c r="C13" s="164" t="s">
        <v>620</v>
      </c>
      <c r="D13" s="163">
        <v>1</v>
      </c>
      <c r="E13" s="164"/>
    </row>
    <row r="14" spans="1:5" ht="14.4" x14ac:dyDescent="0.3">
      <c r="A14" s="163">
        <v>5</v>
      </c>
      <c r="B14" s="164" t="s">
        <v>621</v>
      </c>
      <c r="C14" s="164" t="s">
        <v>622</v>
      </c>
      <c r="D14" s="163">
        <v>1</v>
      </c>
      <c r="E14" s="164"/>
    </row>
    <row r="15" spans="1:5" ht="14.4" x14ac:dyDescent="0.3">
      <c r="A15" s="163">
        <v>5</v>
      </c>
      <c r="B15" s="164" t="s">
        <v>623</v>
      </c>
      <c r="C15" s="164" t="s">
        <v>624</v>
      </c>
      <c r="D15" s="163">
        <v>1</v>
      </c>
      <c r="E15" s="164"/>
    </row>
    <row r="16" spans="1:5" ht="14.4" x14ac:dyDescent="0.3">
      <c r="A16" s="163">
        <v>5</v>
      </c>
      <c r="B16" s="164" t="s">
        <v>625</v>
      </c>
      <c r="C16" s="164" t="s">
        <v>626</v>
      </c>
      <c r="D16" s="163">
        <v>1</v>
      </c>
      <c r="E16" s="164"/>
    </row>
    <row r="17" spans="1:5" ht="14.4" x14ac:dyDescent="0.3">
      <c r="A17" s="163">
        <v>5</v>
      </c>
      <c r="B17" s="164" t="s">
        <v>627</v>
      </c>
      <c r="C17" s="164" t="s">
        <v>628</v>
      </c>
      <c r="D17" s="163">
        <v>1</v>
      </c>
      <c r="E17" s="164"/>
    </row>
    <row r="18" spans="1:5" ht="14.4" x14ac:dyDescent="0.3">
      <c r="A18" s="163">
        <v>5</v>
      </c>
      <c r="B18" s="164" t="s">
        <v>629</v>
      </c>
      <c r="C18" s="164" t="s">
        <v>630</v>
      </c>
      <c r="D18" s="163">
        <v>1</v>
      </c>
      <c r="E18" s="164"/>
    </row>
    <row r="19" spans="1:5" ht="14.4" x14ac:dyDescent="0.3">
      <c r="A19" s="163">
        <v>5</v>
      </c>
      <c r="B19" s="164" t="s">
        <v>631</v>
      </c>
      <c r="C19" s="164" t="s">
        <v>632</v>
      </c>
      <c r="D19" s="163">
        <v>1</v>
      </c>
      <c r="E19" s="164"/>
    </row>
    <row r="20" spans="1:5" ht="14.4" x14ac:dyDescent="0.3">
      <c r="A20" s="163">
        <v>5</v>
      </c>
      <c r="B20" s="164" t="s">
        <v>633</v>
      </c>
      <c r="C20" s="164" t="s">
        <v>176</v>
      </c>
      <c r="D20" s="163">
        <v>1</v>
      </c>
      <c r="E20" s="164"/>
    </row>
    <row r="21" spans="1:5" ht="14.4" x14ac:dyDescent="0.3">
      <c r="A21" s="163">
        <v>5</v>
      </c>
      <c r="B21" s="164" t="s">
        <v>634</v>
      </c>
      <c r="C21" s="164" t="s">
        <v>635</v>
      </c>
      <c r="D21" s="163">
        <v>1</v>
      </c>
      <c r="E21" s="164"/>
    </row>
    <row r="22" spans="1:5" ht="14.4" x14ac:dyDescent="0.3">
      <c r="A22" s="163">
        <v>5</v>
      </c>
      <c r="B22" s="164" t="s">
        <v>636</v>
      </c>
      <c r="C22" s="164" t="s">
        <v>637</v>
      </c>
      <c r="D22" s="163">
        <v>1</v>
      </c>
      <c r="E22" s="164"/>
    </row>
    <row r="23" spans="1:5" ht="14.4" x14ac:dyDescent="0.3">
      <c r="A23" s="163">
        <v>5</v>
      </c>
      <c r="B23" s="164" t="s">
        <v>638</v>
      </c>
      <c r="C23" s="164" t="s">
        <v>639</v>
      </c>
      <c r="D23" s="163">
        <v>1</v>
      </c>
      <c r="E23" s="164"/>
    </row>
    <row r="24" spans="1:5" ht="14.4" x14ac:dyDescent="0.3">
      <c r="A24" s="163">
        <v>5</v>
      </c>
      <c r="B24" s="164" t="s">
        <v>640</v>
      </c>
      <c r="C24" s="164" t="s">
        <v>641</v>
      </c>
      <c r="D24" s="163">
        <v>1</v>
      </c>
      <c r="E24" s="164"/>
    </row>
    <row r="25" spans="1:5" ht="14.4" x14ac:dyDescent="0.3">
      <c r="A25" s="163">
        <v>5</v>
      </c>
      <c r="B25" s="164" t="s">
        <v>642</v>
      </c>
      <c r="C25" s="164" t="s">
        <v>643</v>
      </c>
      <c r="D25" s="163">
        <v>1</v>
      </c>
      <c r="E25" s="164"/>
    </row>
    <row r="26" spans="1:5" ht="14.4" x14ac:dyDescent="0.3">
      <c r="A26" s="163">
        <v>5</v>
      </c>
      <c r="B26" s="164" t="s">
        <v>644</v>
      </c>
      <c r="C26" s="164" t="s">
        <v>645</v>
      </c>
      <c r="D26" s="163">
        <v>1</v>
      </c>
      <c r="E26" s="164"/>
    </row>
    <row r="27" spans="1:5" ht="14.4" x14ac:dyDescent="0.3">
      <c r="A27" s="163">
        <v>5</v>
      </c>
      <c r="B27" s="164" t="s">
        <v>646</v>
      </c>
      <c r="C27" s="164" t="s">
        <v>647</v>
      </c>
      <c r="D27" s="163">
        <v>1</v>
      </c>
      <c r="E27" s="164"/>
    </row>
    <row r="28" spans="1:5" ht="14.4" x14ac:dyDescent="0.3">
      <c r="A28" s="163">
        <v>5</v>
      </c>
      <c r="B28" s="164" t="s">
        <v>648</v>
      </c>
      <c r="C28" s="164" t="s">
        <v>649</v>
      </c>
      <c r="D28" s="163">
        <v>1</v>
      </c>
      <c r="E28" s="164"/>
    </row>
    <row r="29" spans="1:5" ht="14.4" x14ac:dyDescent="0.3">
      <c r="A29" s="163">
        <v>5</v>
      </c>
      <c r="B29" s="164" t="s">
        <v>650</v>
      </c>
      <c r="C29" s="164" t="s">
        <v>651</v>
      </c>
      <c r="D29" s="163">
        <v>1</v>
      </c>
      <c r="E29" s="164"/>
    </row>
    <row r="30" spans="1:5" ht="14.4" x14ac:dyDescent="0.3">
      <c r="A30" s="163">
        <v>5</v>
      </c>
      <c r="B30" s="164" t="s">
        <v>652</v>
      </c>
      <c r="C30" s="164" t="s">
        <v>653</v>
      </c>
      <c r="D30" s="163">
        <v>1</v>
      </c>
      <c r="E30" s="164"/>
    </row>
    <row r="31" spans="1:5" ht="14.4" x14ac:dyDescent="0.3">
      <c r="A31" s="163">
        <v>5</v>
      </c>
      <c r="B31" s="164" t="s">
        <v>654</v>
      </c>
      <c r="C31" s="164" t="s">
        <v>655</v>
      </c>
      <c r="D31" s="163">
        <v>1</v>
      </c>
      <c r="E31" s="164"/>
    </row>
    <row r="32" spans="1:5" ht="14.4" x14ac:dyDescent="0.3">
      <c r="A32" s="163">
        <v>5</v>
      </c>
      <c r="B32" s="164" t="s">
        <v>656</v>
      </c>
      <c r="C32" s="164" t="s">
        <v>657</v>
      </c>
      <c r="D32" s="163">
        <v>1</v>
      </c>
      <c r="E32" s="164"/>
    </row>
    <row r="33" spans="1:5" ht="14.4" x14ac:dyDescent="0.3">
      <c r="A33" s="163">
        <v>5</v>
      </c>
      <c r="B33" s="164" t="s">
        <v>658</v>
      </c>
      <c r="C33" s="164" t="s">
        <v>659</v>
      </c>
      <c r="D33" s="163">
        <v>1</v>
      </c>
      <c r="E33" s="164"/>
    </row>
    <row r="34" spans="1:5" ht="14.4" x14ac:dyDescent="0.3">
      <c r="A34" s="163">
        <v>5</v>
      </c>
      <c r="B34" s="164" t="s">
        <v>660</v>
      </c>
      <c r="C34" s="164" t="s">
        <v>661</v>
      </c>
      <c r="D34" s="163">
        <v>1</v>
      </c>
      <c r="E34" s="164"/>
    </row>
    <row r="35" spans="1:5" ht="14.4" x14ac:dyDescent="0.3">
      <c r="A35" s="163">
        <v>5</v>
      </c>
      <c r="B35" s="164" t="s">
        <v>663</v>
      </c>
      <c r="C35" s="164" t="s">
        <v>664</v>
      </c>
      <c r="D35" s="163">
        <v>1</v>
      </c>
      <c r="E35" s="164"/>
    </row>
    <row r="36" spans="1:5" ht="14.4" x14ac:dyDescent="0.3">
      <c r="A36" s="163">
        <v>5</v>
      </c>
      <c r="B36" s="164" t="s">
        <v>665</v>
      </c>
      <c r="C36" s="164" t="s">
        <v>123</v>
      </c>
      <c r="D36" s="163">
        <v>1</v>
      </c>
      <c r="E36" s="164"/>
    </row>
    <row r="37" spans="1:5" ht="14.4" x14ac:dyDescent="0.3">
      <c r="A37" s="163">
        <v>5</v>
      </c>
      <c r="B37" s="164" t="s">
        <v>666</v>
      </c>
      <c r="C37" s="164" t="s">
        <v>667</v>
      </c>
      <c r="D37" s="163">
        <v>1</v>
      </c>
      <c r="E37" s="164"/>
    </row>
    <row r="38" spans="1:5" ht="14.4" x14ac:dyDescent="0.3">
      <c r="A38" s="163">
        <v>5</v>
      </c>
      <c r="B38" s="164" t="s">
        <v>668</v>
      </c>
      <c r="C38" s="164" t="s">
        <v>669</v>
      </c>
      <c r="D38" s="163">
        <v>1</v>
      </c>
      <c r="E38" s="164"/>
    </row>
    <row r="39" spans="1:5" ht="14.4" x14ac:dyDescent="0.3">
      <c r="A39" s="163">
        <v>5</v>
      </c>
      <c r="B39" s="164" t="s">
        <v>670</v>
      </c>
      <c r="C39" s="164" t="s">
        <v>671</v>
      </c>
      <c r="D39" s="163">
        <v>1</v>
      </c>
      <c r="E39" s="164"/>
    </row>
    <row r="40" spans="1:5" ht="14.4" x14ac:dyDescent="0.3">
      <c r="A40" s="163">
        <v>5</v>
      </c>
      <c r="B40" s="164" t="s">
        <v>672</v>
      </c>
      <c r="C40" s="164" t="s">
        <v>673</v>
      </c>
      <c r="D40" s="163">
        <v>1</v>
      </c>
      <c r="E40" s="164"/>
    </row>
    <row r="41" spans="1:5" ht="14.4" x14ac:dyDescent="0.3">
      <c r="A41" s="163">
        <v>5</v>
      </c>
      <c r="B41" s="164" t="s">
        <v>674</v>
      </c>
      <c r="C41" s="164" t="s">
        <v>675</v>
      </c>
      <c r="D41" s="163">
        <v>1</v>
      </c>
      <c r="E41" s="164"/>
    </row>
    <row r="42" spans="1:5" ht="14.4" x14ac:dyDescent="0.3">
      <c r="A42" s="163">
        <v>5</v>
      </c>
      <c r="B42" s="164" t="s">
        <v>676</v>
      </c>
      <c r="C42" s="164" t="s">
        <v>677</v>
      </c>
      <c r="D42" s="163">
        <v>1</v>
      </c>
      <c r="E42" s="164"/>
    </row>
    <row r="43" spans="1:5" ht="14.4" x14ac:dyDescent="0.3">
      <c r="A43" s="163">
        <v>5</v>
      </c>
      <c r="B43" s="164" t="s">
        <v>678</v>
      </c>
      <c r="C43" s="164" t="s">
        <v>679</v>
      </c>
      <c r="D43" s="163">
        <v>1</v>
      </c>
      <c r="E43" s="164"/>
    </row>
    <row r="44" spans="1:5" ht="15" thickBot="1" x14ac:dyDescent="0.35">
      <c r="A44" s="175">
        <v>5</v>
      </c>
      <c r="B44" s="173" t="s">
        <v>680</v>
      </c>
      <c r="C44" s="173" t="s">
        <v>681</v>
      </c>
      <c r="D44" s="175">
        <v>1</v>
      </c>
      <c r="E44" s="173"/>
    </row>
    <row r="45" spans="1:5" ht="13.8" thickTop="1" x14ac:dyDescent="0.25"/>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pageSetUpPr fitToPage="1"/>
  </sheetPr>
  <dimension ref="A1:K46"/>
  <sheetViews>
    <sheetView showGridLines="0" zoomScale="90" zoomScaleNormal="90" workbookViewId="0">
      <selection activeCell="N12" sqref="N12"/>
    </sheetView>
  </sheetViews>
  <sheetFormatPr baseColWidth="10" defaultColWidth="11.44140625" defaultRowHeight="13.2" x14ac:dyDescent="0.25"/>
  <cols>
    <col min="1" max="1" width="2.6640625" customWidth="1"/>
    <col min="2" max="2" width="2.109375" customWidth="1"/>
    <col min="3" max="3" width="9.5546875" customWidth="1"/>
    <col min="4" max="4" width="1.33203125" customWidth="1"/>
    <col min="5" max="5" width="45.88671875" customWidth="1"/>
    <col min="6" max="6" width="1.33203125" customWidth="1"/>
    <col min="7" max="7" width="50.33203125" customWidth="1"/>
    <col min="8" max="8" width="1.33203125" customWidth="1"/>
    <col min="9" max="9" width="42.88671875" customWidth="1"/>
    <col min="10" max="10" width="1.33203125" customWidth="1"/>
    <col min="11" max="11" width="50.6640625" customWidth="1"/>
  </cols>
  <sheetData>
    <row r="1" spans="1:11" ht="30" customHeight="1" thickTop="1" x14ac:dyDescent="0.25">
      <c r="A1" s="8" t="s">
        <v>1</v>
      </c>
      <c r="B1" s="265" t="s">
        <v>26</v>
      </c>
      <c r="C1" s="266"/>
      <c r="D1" s="17"/>
      <c r="E1" s="10"/>
      <c r="F1" s="9"/>
      <c r="G1" s="10"/>
      <c r="H1" s="9"/>
      <c r="I1" s="10"/>
      <c r="J1" s="9"/>
      <c r="K1" s="24"/>
    </row>
    <row r="2" spans="1:11" ht="30" customHeight="1" x14ac:dyDescent="0.25">
      <c r="A2" s="11" t="s">
        <v>21</v>
      </c>
      <c r="B2" s="267" t="s">
        <v>27</v>
      </c>
      <c r="C2" s="268"/>
      <c r="D2" s="18"/>
      <c r="E2" s="7" t="s">
        <v>695</v>
      </c>
      <c r="F2" s="4"/>
      <c r="G2" s="7" t="s">
        <v>695</v>
      </c>
      <c r="H2" s="4"/>
      <c r="I2" s="7" t="s">
        <v>695</v>
      </c>
      <c r="J2" s="4"/>
      <c r="K2" s="25" t="s">
        <v>695</v>
      </c>
    </row>
    <row r="3" spans="1:11" ht="30" customHeight="1" thickBot="1" x14ac:dyDescent="0.3">
      <c r="A3" s="12" t="s">
        <v>23</v>
      </c>
      <c r="B3" s="269" t="s">
        <v>28</v>
      </c>
      <c r="C3" s="217"/>
      <c r="D3" s="19"/>
      <c r="E3" s="54">
        <f>100-(SUM(E2:K2))</f>
        <v>100</v>
      </c>
      <c r="F3" s="13"/>
      <c r="G3" s="23"/>
      <c r="H3" s="19"/>
      <c r="I3" s="74" t="s">
        <v>696</v>
      </c>
      <c r="J3" s="19"/>
      <c r="K3" s="14"/>
    </row>
    <row r="4" spans="1:11" ht="6" customHeight="1" thickTop="1" thickBot="1" x14ac:dyDescent="0.3">
      <c r="B4" s="5"/>
      <c r="C4" s="5"/>
      <c r="E4" s="6"/>
      <c r="G4" s="6"/>
      <c r="I4" s="6"/>
      <c r="K4" s="6"/>
    </row>
    <row r="5" spans="1:11" ht="16.5" customHeight="1" x14ac:dyDescent="0.25">
      <c r="C5" s="270" t="s">
        <v>697</v>
      </c>
      <c r="D5" s="44"/>
      <c r="E5" s="46" t="s">
        <v>698</v>
      </c>
      <c r="F5" s="44"/>
      <c r="G5" s="46" t="s">
        <v>699</v>
      </c>
      <c r="H5" s="42"/>
      <c r="I5" s="46" t="s">
        <v>700</v>
      </c>
      <c r="J5" s="42"/>
      <c r="K5" s="46" t="s">
        <v>701</v>
      </c>
    </row>
    <row r="6" spans="1:11" ht="12" customHeight="1" thickBot="1" x14ac:dyDescent="0.3">
      <c r="C6" s="271"/>
      <c r="D6" s="43"/>
      <c r="E6" s="47" t="s">
        <v>702</v>
      </c>
      <c r="F6" s="45"/>
      <c r="G6" s="47" t="s">
        <v>702</v>
      </c>
      <c r="H6" s="41"/>
      <c r="I6" s="47" t="s">
        <v>703</v>
      </c>
      <c r="J6" s="41"/>
      <c r="K6" s="53" t="s">
        <v>702</v>
      </c>
    </row>
    <row r="7" spans="1:11" ht="15" customHeight="1" x14ac:dyDescent="0.3">
      <c r="C7" s="271"/>
      <c r="D7" s="218" t="s">
        <v>31</v>
      </c>
      <c r="E7" s="218"/>
      <c r="F7" s="218"/>
      <c r="G7" s="218"/>
      <c r="H7" s="218"/>
      <c r="I7" s="218"/>
      <c r="J7" s="218"/>
      <c r="K7" s="220"/>
    </row>
    <row r="8" spans="1:11" ht="15" customHeight="1" thickBot="1" x14ac:dyDescent="0.3">
      <c r="C8" s="271"/>
      <c r="D8" s="219" t="s">
        <v>32</v>
      </c>
      <c r="E8" s="219"/>
      <c r="F8" s="219"/>
      <c r="G8" s="219"/>
      <c r="H8" s="219"/>
      <c r="I8" s="219"/>
      <c r="J8" s="219"/>
      <c r="K8" s="227"/>
    </row>
    <row r="9" spans="1:11" ht="23.25" customHeight="1" x14ac:dyDescent="0.25">
      <c r="C9" s="271"/>
      <c r="D9" s="20" t="s">
        <v>33</v>
      </c>
      <c r="E9" s="26" t="s">
        <v>704</v>
      </c>
      <c r="F9" s="27" t="s">
        <v>33</v>
      </c>
      <c r="G9" s="26" t="s">
        <v>705</v>
      </c>
      <c r="H9" s="27" t="s">
        <v>33</v>
      </c>
      <c r="I9" s="26" t="s">
        <v>706</v>
      </c>
      <c r="J9" s="27" t="s">
        <v>33</v>
      </c>
      <c r="K9" s="26" t="s">
        <v>707</v>
      </c>
    </row>
    <row r="10" spans="1:11" ht="23.25" customHeight="1" x14ac:dyDescent="0.25">
      <c r="C10" s="271"/>
      <c r="D10" s="21" t="s">
        <v>33</v>
      </c>
      <c r="E10" s="28" t="s">
        <v>708</v>
      </c>
      <c r="F10" s="29" t="s">
        <v>33</v>
      </c>
      <c r="G10" s="28" t="s">
        <v>709</v>
      </c>
      <c r="H10" s="29"/>
      <c r="I10" s="28"/>
      <c r="J10" s="29" t="s">
        <v>33</v>
      </c>
      <c r="K10" s="28" t="s">
        <v>710</v>
      </c>
    </row>
    <row r="11" spans="1:11" ht="23.25" customHeight="1" x14ac:dyDescent="0.25">
      <c r="C11" s="271"/>
      <c r="D11" s="15"/>
      <c r="E11" s="28"/>
      <c r="F11" s="30" t="s">
        <v>33</v>
      </c>
      <c r="G11" s="28" t="s">
        <v>711</v>
      </c>
      <c r="H11" s="29"/>
      <c r="I11" s="28"/>
      <c r="J11" s="29"/>
      <c r="K11" s="28"/>
    </row>
    <row r="12" spans="1:11" ht="23.25" customHeight="1" x14ac:dyDescent="0.25">
      <c r="C12" s="271"/>
      <c r="D12" s="22"/>
      <c r="E12" s="28"/>
      <c r="F12" s="34" t="s">
        <v>33</v>
      </c>
      <c r="G12" s="28" t="s">
        <v>712</v>
      </c>
      <c r="H12" s="34"/>
      <c r="I12" s="28"/>
      <c r="J12" s="34"/>
      <c r="K12" s="28"/>
    </row>
    <row r="13" spans="1:11" ht="23.25" customHeight="1" thickBot="1" x14ac:dyDescent="0.3">
      <c r="C13" s="271"/>
      <c r="D13" s="16"/>
      <c r="E13" s="31"/>
      <c r="F13" s="32" t="s">
        <v>33</v>
      </c>
      <c r="G13" s="31" t="s">
        <v>713</v>
      </c>
      <c r="H13" s="32"/>
      <c r="I13" s="31"/>
      <c r="J13" s="32"/>
      <c r="K13" s="31"/>
    </row>
    <row r="14" spans="1:11" ht="15" customHeight="1" x14ac:dyDescent="0.3">
      <c r="C14" s="271"/>
      <c r="D14" s="218" t="s">
        <v>36</v>
      </c>
      <c r="E14" s="218"/>
      <c r="F14" s="218"/>
      <c r="G14" s="218"/>
      <c r="H14" s="218"/>
      <c r="I14" s="218"/>
      <c r="J14" s="218"/>
      <c r="K14" s="220"/>
    </row>
    <row r="15" spans="1:11" ht="15.75" customHeight="1" thickBot="1" x14ac:dyDescent="0.3">
      <c r="C15" s="271"/>
      <c r="D15" s="219" t="s">
        <v>37</v>
      </c>
      <c r="E15" s="219"/>
      <c r="F15" s="219"/>
      <c r="G15" s="219"/>
      <c r="H15" s="219"/>
      <c r="I15" s="219"/>
      <c r="J15" s="219"/>
      <c r="K15" s="227"/>
    </row>
    <row r="16" spans="1:11" ht="23.25" customHeight="1" x14ac:dyDescent="0.25">
      <c r="C16" s="271"/>
      <c r="D16" s="27" t="s">
        <v>33</v>
      </c>
      <c r="E16" s="26" t="s">
        <v>714</v>
      </c>
      <c r="F16" s="27" t="s">
        <v>33</v>
      </c>
      <c r="G16" s="26" t="s">
        <v>715</v>
      </c>
      <c r="H16" s="27" t="s">
        <v>33</v>
      </c>
      <c r="I16" s="26" t="s">
        <v>706</v>
      </c>
      <c r="J16" s="27" t="s">
        <v>33</v>
      </c>
      <c r="K16" s="26" t="s">
        <v>716</v>
      </c>
    </row>
    <row r="17" spans="3:11" ht="23.25" customHeight="1" x14ac:dyDescent="0.25">
      <c r="C17" s="271"/>
      <c r="D17" s="29" t="s">
        <v>33</v>
      </c>
      <c r="E17" s="28" t="s">
        <v>717</v>
      </c>
      <c r="F17" s="29" t="s">
        <v>33</v>
      </c>
      <c r="G17" s="28" t="s">
        <v>718</v>
      </c>
      <c r="H17" s="29"/>
      <c r="I17" s="28"/>
      <c r="J17" s="29" t="s">
        <v>33</v>
      </c>
      <c r="K17" s="28" t="s">
        <v>719</v>
      </c>
    </row>
    <row r="18" spans="3:11" ht="23.25" customHeight="1" thickBot="1" x14ac:dyDescent="0.3">
      <c r="C18" s="272"/>
      <c r="D18" s="29"/>
      <c r="E18" s="28"/>
      <c r="F18" s="29"/>
      <c r="G18" s="28"/>
      <c r="H18" s="29"/>
      <c r="I18" s="28"/>
      <c r="J18" s="29"/>
      <c r="K18" s="28" t="s">
        <v>720</v>
      </c>
    </row>
    <row r="19" spans="3:11" ht="15" customHeight="1" thickTop="1" x14ac:dyDescent="0.3">
      <c r="C19" s="275" t="s">
        <v>721</v>
      </c>
      <c r="D19" s="278" t="s">
        <v>39</v>
      </c>
      <c r="E19" s="279"/>
      <c r="F19" s="279"/>
      <c r="G19" s="279"/>
      <c r="H19" s="279"/>
      <c r="I19" s="279"/>
      <c r="J19" s="279"/>
      <c r="K19" s="280"/>
    </row>
    <row r="20" spans="3:11" ht="15.75" customHeight="1" thickBot="1" x14ac:dyDescent="0.3">
      <c r="C20" s="276"/>
      <c r="D20" s="229" t="s">
        <v>40</v>
      </c>
      <c r="E20" s="219"/>
      <c r="F20" s="219"/>
      <c r="G20" s="219"/>
      <c r="H20" s="219"/>
      <c r="I20" s="219"/>
      <c r="J20" s="219"/>
      <c r="K20" s="281"/>
    </row>
    <row r="21" spans="3:11" ht="23.25" customHeight="1" x14ac:dyDescent="0.25">
      <c r="C21" s="276"/>
      <c r="D21" s="30" t="s">
        <v>33</v>
      </c>
      <c r="E21" s="26" t="s">
        <v>722</v>
      </c>
      <c r="F21" s="29" t="s">
        <v>33</v>
      </c>
      <c r="G21" s="26" t="s">
        <v>723</v>
      </c>
      <c r="H21" s="27" t="s">
        <v>33</v>
      </c>
      <c r="I21" s="26" t="s">
        <v>706</v>
      </c>
      <c r="J21" s="29" t="s">
        <v>33</v>
      </c>
      <c r="K21" s="39" t="s">
        <v>724</v>
      </c>
    </row>
    <row r="22" spans="3:11" ht="23.25" customHeight="1" x14ac:dyDescent="0.25">
      <c r="C22" s="276"/>
      <c r="D22" s="30" t="s">
        <v>33</v>
      </c>
      <c r="E22" s="28" t="s">
        <v>725</v>
      </c>
      <c r="F22" s="29"/>
      <c r="G22" s="28" t="s">
        <v>726</v>
      </c>
      <c r="H22" s="29"/>
      <c r="I22" s="28"/>
      <c r="J22" s="29" t="s">
        <v>33</v>
      </c>
      <c r="K22" s="36" t="s">
        <v>727</v>
      </c>
    </row>
    <row r="23" spans="3:11" ht="23.25" customHeight="1" x14ac:dyDescent="0.25">
      <c r="C23" s="276"/>
      <c r="D23" s="30" t="s">
        <v>33</v>
      </c>
      <c r="E23" s="33" t="s">
        <v>728</v>
      </c>
      <c r="F23" s="29" t="s">
        <v>33</v>
      </c>
      <c r="G23" s="33" t="s">
        <v>729</v>
      </c>
      <c r="H23" s="29"/>
      <c r="I23" s="28"/>
      <c r="J23" s="29" t="s">
        <v>33</v>
      </c>
      <c r="K23" s="36" t="s">
        <v>730</v>
      </c>
    </row>
    <row r="24" spans="3:11" ht="23.25" customHeight="1" x14ac:dyDescent="0.25">
      <c r="C24" s="276"/>
      <c r="D24" s="30"/>
      <c r="E24" s="33"/>
      <c r="F24" s="29"/>
      <c r="G24" s="33"/>
      <c r="H24" s="29"/>
      <c r="I24" s="28"/>
      <c r="J24" s="29" t="s">
        <v>33</v>
      </c>
      <c r="K24" s="36" t="s">
        <v>731</v>
      </c>
    </row>
    <row r="25" spans="3:11" ht="23.25" customHeight="1" thickBot="1" x14ac:dyDescent="0.3">
      <c r="C25" s="277"/>
      <c r="D25" s="49"/>
      <c r="E25" s="37"/>
      <c r="F25" s="40"/>
      <c r="G25" s="37"/>
      <c r="H25" s="40"/>
      <c r="I25" s="35"/>
      <c r="J25" s="40"/>
      <c r="K25" s="38" t="s">
        <v>732</v>
      </c>
    </row>
    <row r="26" spans="3:11" ht="15" customHeight="1" thickTop="1" x14ac:dyDescent="0.3">
      <c r="C26" s="271" t="s">
        <v>733</v>
      </c>
      <c r="D26" s="218" t="s">
        <v>42</v>
      </c>
      <c r="E26" s="218"/>
      <c r="F26" s="218"/>
      <c r="G26" s="218"/>
      <c r="H26" s="218"/>
      <c r="I26" s="218"/>
      <c r="J26" s="218"/>
      <c r="K26" s="220"/>
    </row>
    <row r="27" spans="3:11" ht="15" customHeight="1" thickBot="1" x14ac:dyDescent="0.3">
      <c r="C27" s="271"/>
      <c r="D27" s="219" t="s">
        <v>43</v>
      </c>
      <c r="E27" s="219"/>
      <c r="F27" s="219"/>
      <c r="G27" s="219"/>
      <c r="H27" s="219"/>
      <c r="I27" s="219"/>
      <c r="J27" s="219"/>
      <c r="K27" s="227"/>
    </row>
    <row r="28" spans="3:11" ht="23.25" customHeight="1" x14ac:dyDescent="0.25">
      <c r="C28" s="271"/>
      <c r="D28" s="27" t="s">
        <v>33</v>
      </c>
      <c r="E28" s="26" t="s">
        <v>734</v>
      </c>
      <c r="F28" s="27" t="s">
        <v>33</v>
      </c>
      <c r="G28" s="26" t="s">
        <v>735</v>
      </c>
      <c r="H28" s="27" t="s">
        <v>33</v>
      </c>
      <c r="I28" s="26" t="s">
        <v>706</v>
      </c>
      <c r="J28" s="27" t="s">
        <v>33</v>
      </c>
      <c r="K28" s="26" t="s">
        <v>736</v>
      </c>
    </row>
    <row r="29" spans="3:11" ht="23.25" customHeight="1" x14ac:dyDescent="0.25">
      <c r="C29" s="271"/>
      <c r="D29" s="29" t="s">
        <v>33</v>
      </c>
      <c r="E29" s="28" t="s">
        <v>737</v>
      </c>
      <c r="F29" s="29" t="s">
        <v>33</v>
      </c>
      <c r="G29" s="28" t="s">
        <v>738</v>
      </c>
      <c r="H29" s="29"/>
      <c r="I29" s="28"/>
      <c r="J29" s="29" t="s">
        <v>33</v>
      </c>
      <c r="K29" s="28" t="s">
        <v>739</v>
      </c>
    </row>
    <row r="30" spans="3:11" ht="23.25" customHeight="1" x14ac:dyDescent="0.25">
      <c r="C30" s="271"/>
      <c r="D30" s="29"/>
      <c r="E30" s="28"/>
      <c r="F30" s="29"/>
      <c r="G30" s="28" t="s">
        <v>740</v>
      </c>
      <c r="H30" s="29"/>
      <c r="I30" s="28"/>
      <c r="J30" s="29"/>
      <c r="K30" s="28"/>
    </row>
    <row r="31" spans="3:11" ht="23.25" customHeight="1" thickBot="1" x14ac:dyDescent="0.3">
      <c r="C31" s="271"/>
      <c r="D31" s="32"/>
      <c r="E31" s="31"/>
      <c r="F31" s="32"/>
      <c r="G31" s="31"/>
      <c r="H31" s="32"/>
      <c r="I31" s="31"/>
      <c r="J31" s="32"/>
      <c r="K31" s="31"/>
    </row>
    <row r="32" spans="3:11" ht="15" customHeight="1" thickBot="1" x14ac:dyDescent="0.35">
      <c r="C32" s="271"/>
      <c r="D32" s="218" t="s">
        <v>45</v>
      </c>
      <c r="E32" s="218"/>
      <c r="F32" s="218"/>
      <c r="G32" s="218"/>
      <c r="H32" s="218"/>
      <c r="I32" s="218"/>
      <c r="J32" s="218"/>
      <c r="K32" s="220"/>
    </row>
    <row r="33" spans="2:11" ht="23.25" customHeight="1" x14ac:dyDescent="0.25">
      <c r="C33" s="271"/>
      <c r="D33" s="27" t="s">
        <v>33</v>
      </c>
      <c r="E33" s="26" t="s">
        <v>741</v>
      </c>
      <c r="F33" s="27" t="s">
        <v>33</v>
      </c>
      <c r="G33" s="26" t="s">
        <v>742</v>
      </c>
      <c r="H33" s="27" t="s">
        <v>33</v>
      </c>
      <c r="I33" s="26" t="s">
        <v>706</v>
      </c>
      <c r="J33" s="27" t="s">
        <v>33</v>
      </c>
      <c r="K33" s="26" t="s">
        <v>743</v>
      </c>
    </row>
    <row r="34" spans="2:11" ht="23.25" customHeight="1" x14ac:dyDescent="0.25">
      <c r="C34" s="271"/>
      <c r="D34" s="29" t="s">
        <v>33</v>
      </c>
      <c r="E34" s="28" t="s">
        <v>744</v>
      </c>
      <c r="F34" s="29" t="s">
        <v>33</v>
      </c>
      <c r="G34" s="28" t="s">
        <v>745</v>
      </c>
      <c r="H34" s="29"/>
      <c r="I34" s="28"/>
      <c r="J34" s="29" t="s">
        <v>33</v>
      </c>
      <c r="K34" s="28" t="s">
        <v>746</v>
      </c>
    </row>
    <row r="35" spans="2:11" ht="23.25" customHeight="1" thickBot="1" x14ac:dyDescent="0.3">
      <c r="C35" s="282"/>
      <c r="D35" s="32"/>
      <c r="E35" s="31"/>
      <c r="F35" s="32"/>
      <c r="G35" s="31"/>
      <c r="H35" s="32"/>
      <c r="I35" s="31"/>
      <c r="J35" s="32" t="s">
        <v>33</v>
      </c>
      <c r="K35" s="31" t="s">
        <v>747</v>
      </c>
    </row>
    <row r="37" spans="2:11" ht="15" customHeight="1" x14ac:dyDescent="0.25">
      <c r="B37" s="48" t="s">
        <v>702</v>
      </c>
      <c r="C37" s="273" t="s">
        <v>748</v>
      </c>
      <c r="D37" s="273"/>
      <c r="E37" s="273"/>
      <c r="F37" s="273"/>
      <c r="G37" s="273"/>
      <c r="H37" s="273"/>
      <c r="I37" s="273"/>
      <c r="J37" s="273"/>
      <c r="K37" s="273"/>
    </row>
    <row r="38" spans="2:11" ht="6.75" customHeight="1" x14ac:dyDescent="0.25">
      <c r="B38" s="48"/>
      <c r="C38" s="48"/>
      <c r="D38" s="48"/>
      <c r="E38" s="98"/>
      <c r="F38" s="48"/>
      <c r="G38" s="98"/>
      <c r="H38" s="48"/>
      <c r="I38" s="98"/>
      <c r="J38" s="48"/>
      <c r="K38" s="98"/>
    </row>
    <row r="39" spans="2:11" ht="12.75" customHeight="1" x14ac:dyDescent="0.25">
      <c r="B39" s="48" t="s">
        <v>703</v>
      </c>
      <c r="C39" s="274" t="s">
        <v>749</v>
      </c>
      <c r="D39" s="274"/>
      <c r="E39" s="274"/>
      <c r="F39" s="274"/>
      <c r="G39" s="274"/>
      <c r="H39" s="274"/>
      <c r="I39" s="274"/>
      <c r="J39" s="274"/>
      <c r="K39" s="274"/>
    </row>
    <row r="40" spans="2:11" ht="12.75" customHeight="1" x14ac:dyDescent="0.25">
      <c r="B40" s="48"/>
      <c r="C40" s="274"/>
      <c r="D40" s="274"/>
      <c r="E40" s="274"/>
      <c r="F40" s="274"/>
      <c r="G40" s="274"/>
      <c r="H40" s="274"/>
      <c r="I40" s="274"/>
      <c r="J40" s="274"/>
      <c r="K40" s="274"/>
    </row>
    <row r="41" spans="2:11" ht="12" customHeight="1" x14ac:dyDescent="0.25">
      <c r="B41" s="48"/>
      <c r="C41" s="274"/>
      <c r="D41" s="274"/>
      <c r="E41" s="274"/>
      <c r="F41" s="274"/>
      <c r="G41" s="274"/>
      <c r="H41" s="274"/>
      <c r="I41" s="274"/>
      <c r="J41" s="274"/>
      <c r="K41" s="274"/>
    </row>
    <row r="42" spans="2:11" ht="12.75" customHeight="1" x14ac:dyDescent="0.25">
      <c r="E42" s="1"/>
      <c r="G42" s="1"/>
      <c r="I42" s="1"/>
      <c r="K42" s="1"/>
    </row>
    <row r="43" spans="2:11" ht="15.6" x14ac:dyDescent="0.35">
      <c r="E43" s="2"/>
    </row>
    <row r="46" spans="2:11" ht="18" x14ac:dyDescent="0.35">
      <c r="E46" s="3"/>
    </row>
  </sheetData>
  <sheetProtection selectLockedCells="1"/>
  <mergeCells count="17">
    <mergeCell ref="C37:K37"/>
    <mergeCell ref="C39:K41"/>
    <mergeCell ref="C19:C25"/>
    <mergeCell ref="D19:K19"/>
    <mergeCell ref="D20:K20"/>
    <mergeCell ref="C26:C35"/>
    <mergeCell ref="D26:K26"/>
    <mergeCell ref="D27:K27"/>
    <mergeCell ref="D32:K32"/>
    <mergeCell ref="B1:C1"/>
    <mergeCell ref="B2:C2"/>
    <mergeCell ref="B3:C3"/>
    <mergeCell ref="C5:C18"/>
    <mergeCell ref="D7:K7"/>
    <mergeCell ref="D8:K8"/>
    <mergeCell ref="D14:K14"/>
    <mergeCell ref="D15:K15"/>
  </mergeCells>
  <printOptions horizontalCentered="1"/>
  <pageMargins left="0.55118110236220474" right="0.47244094488188981" top="1.1417322834645669" bottom="0.35433070866141736" header="0.82677165354330717" footer="0.35433070866141736"/>
  <pageSetup paperSize="9" scale="66" orientation="landscape" verticalDpi="2" r:id="rId1"/>
  <headerFooter alignWithMargins="0">
    <oddHeader>&amp;L&amp;"Arial,Fett"&amp;24Wertungsmatrix Angebotsqualität</oddHeader>
    <oddFooter>&amp;L&amp;"Arial,Fett"&amp;9 202.0302V94&amp;"Arial,Standard"  Wertungsmatrix&amp;RGültig ab 01.11.2012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Line="0" autoPict="0" macro="[0]!Abwahl_Terminplanung">
                <anchor moveWithCells="1" sizeWithCells="1">
                  <from>
                    <xdr:col>4</xdr:col>
                    <xdr:colOff>411480</xdr:colOff>
                    <xdr:row>0</xdr:row>
                    <xdr:rowOff>76200</xdr:rowOff>
                  </from>
                  <to>
                    <xdr:col>4</xdr:col>
                    <xdr:colOff>1295400</xdr:colOff>
                    <xdr:row>0</xdr:row>
                    <xdr:rowOff>297180</xdr:rowOff>
                  </to>
                </anchor>
              </controlPr>
            </control>
          </mc:Choice>
        </mc:AlternateContent>
        <mc:AlternateContent xmlns:mc="http://schemas.openxmlformats.org/markup-compatibility/2006">
          <mc:Choice Requires="x14">
            <control shapeId="6146" r:id="rId5" name="Button 2">
              <controlPr defaultSize="0" print="0" autoFill="0" autoLine="0" autoPict="0" macro="[0]!Abwahl_Logistik">
                <anchor moveWithCells="1" sizeWithCells="1">
                  <from>
                    <xdr:col>6</xdr:col>
                    <xdr:colOff>563880</xdr:colOff>
                    <xdr:row>0</xdr:row>
                    <xdr:rowOff>76200</xdr:rowOff>
                  </from>
                  <to>
                    <xdr:col>6</xdr:col>
                    <xdr:colOff>1447800</xdr:colOff>
                    <xdr:row>0</xdr:row>
                    <xdr:rowOff>297180</xdr:rowOff>
                  </to>
                </anchor>
              </controlPr>
            </control>
          </mc:Choice>
        </mc:AlternateContent>
        <mc:AlternateContent xmlns:mc="http://schemas.openxmlformats.org/markup-compatibility/2006">
          <mc:Choice Requires="x14">
            <control shapeId="6147" r:id="rId6" name="Button 3">
              <controlPr defaultSize="0" print="0" autoFill="0" autoLine="0" autoPict="0" macro="[0]!Abwahl_Umwelt">
                <anchor moveWithCells="1" sizeWithCells="1">
                  <from>
                    <xdr:col>10</xdr:col>
                    <xdr:colOff>464820</xdr:colOff>
                    <xdr:row>0</xdr:row>
                    <xdr:rowOff>83820</xdr:rowOff>
                  </from>
                  <to>
                    <xdr:col>10</xdr:col>
                    <xdr:colOff>1356360</xdr:colOff>
                    <xdr:row>0</xdr:row>
                    <xdr:rowOff>304800</xdr:rowOff>
                  </to>
                </anchor>
              </controlPr>
            </control>
          </mc:Choice>
        </mc:AlternateContent>
        <mc:AlternateContent xmlns:mc="http://schemas.openxmlformats.org/markup-compatibility/2006">
          <mc:Choice Requires="x14">
            <control shapeId="6148" r:id="rId7" name="Button 4">
              <controlPr defaultSize="0" print="0" autoFill="0" autoLine="0" autoPict="0" macro="[0]!Abwahl_Eigenfertigungstiefe">
                <anchor moveWithCells="1" sizeWithCells="1">
                  <from>
                    <xdr:col>8</xdr:col>
                    <xdr:colOff>259080</xdr:colOff>
                    <xdr:row>0</xdr:row>
                    <xdr:rowOff>68580</xdr:rowOff>
                  </from>
                  <to>
                    <xdr:col>8</xdr:col>
                    <xdr:colOff>1143000</xdr:colOff>
                    <xdr:row>0</xdr:row>
                    <xdr:rowOff>289560</xdr:rowOff>
                  </to>
                </anchor>
              </controlPr>
            </control>
          </mc:Choice>
        </mc:AlternateContent>
        <mc:AlternateContent xmlns:mc="http://schemas.openxmlformats.org/markup-compatibility/2006">
          <mc:Choice Requires="x14">
            <control shapeId="6149" r:id="rId8" name="Button 5">
              <controlPr defaultSize="0" print="0" autoFill="0" autoLine="0" autoPict="0" macro="[0]!Drucken_Wertung_Berechnung">
                <anchor moveWithCells="1" sizeWithCells="1">
                  <from>
                    <xdr:col>8</xdr:col>
                    <xdr:colOff>2651760</xdr:colOff>
                    <xdr:row>2</xdr:row>
                    <xdr:rowOff>76200</xdr:rowOff>
                  </from>
                  <to>
                    <xdr:col>10</xdr:col>
                    <xdr:colOff>2788920</xdr:colOff>
                    <xdr:row>2</xdr:row>
                    <xdr:rowOff>297180</xdr:rowOff>
                  </to>
                </anchor>
              </controlPr>
            </control>
          </mc:Choice>
        </mc:AlternateContent>
        <mc:AlternateContent xmlns:mc="http://schemas.openxmlformats.org/markup-compatibility/2006">
          <mc:Choice Requires="x14">
            <control shapeId="6150" r:id="rId9" name="Button 6">
              <controlPr defaultSize="0" print="0" autoFill="0" autoLine="0" autoPict="0" macro="[0]!Ersatz_Terminplanung">
                <anchor moveWithCells="1" sizeWithCells="1">
                  <from>
                    <xdr:col>4</xdr:col>
                    <xdr:colOff>1752600</xdr:colOff>
                    <xdr:row>0</xdr:row>
                    <xdr:rowOff>83820</xdr:rowOff>
                  </from>
                  <to>
                    <xdr:col>4</xdr:col>
                    <xdr:colOff>2636520</xdr:colOff>
                    <xdr:row>0</xdr:row>
                    <xdr:rowOff>304800</xdr:rowOff>
                  </to>
                </anchor>
              </controlPr>
            </control>
          </mc:Choice>
        </mc:AlternateContent>
        <mc:AlternateContent xmlns:mc="http://schemas.openxmlformats.org/markup-compatibility/2006">
          <mc:Choice Requires="x14">
            <control shapeId="6151" r:id="rId10" name="Button 7">
              <controlPr defaultSize="0" print="0" autoFill="0" autoLine="0" autoPict="0" macro="[0]!Ersatz_Logistik">
                <anchor moveWithCells="1" sizeWithCells="1">
                  <from>
                    <xdr:col>6</xdr:col>
                    <xdr:colOff>1935480</xdr:colOff>
                    <xdr:row>0</xdr:row>
                    <xdr:rowOff>76200</xdr:rowOff>
                  </from>
                  <to>
                    <xdr:col>6</xdr:col>
                    <xdr:colOff>2819400</xdr:colOff>
                    <xdr:row>0</xdr:row>
                    <xdr:rowOff>297180</xdr:rowOff>
                  </to>
                </anchor>
              </controlPr>
            </control>
          </mc:Choice>
        </mc:AlternateContent>
        <mc:AlternateContent xmlns:mc="http://schemas.openxmlformats.org/markup-compatibility/2006">
          <mc:Choice Requires="x14">
            <control shapeId="6152" r:id="rId11" name="Button 8">
              <controlPr defaultSize="0" print="0" autoFill="0" autoLine="0" autoPict="0" macro="[0]!Ersatz_Eigenfertigungstiefe">
                <anchor moveWithCells="1" sizeWithCells="1">
                  <from>
                    <xdr:col>8</xdr:col>
                    <xdr:colOff>1645920</xdr:colOff>
                    <xdr:row>0</xdr:row>
                    <xdr:rowOff>76200</xdr:rowOff>
                  </from>
                  <to>
                    <xdr:col>8</xdr:col>
                    <xdr:colOff>2537460</xdr:colOff>
                    <xdr:row>0</xdr:row>
                    <xdr:rowOff>297180</xdr:rowOff>
                  </to>
                </anchor>
              </controlPr>
            </control>
          </mc:Choice>
        </mc:AlternateContent>
        <mc:AlternateContent xmlns:mc="http://schemas.openxmlformats.org/markup-compatibility/2006">
          <mc:Choice Requires="x14">
            <control shapeId="6153" r:id="rId12" name="Button 9">
              <controlPr defaultSize="0" print="0" autoFill="0" autoLine="0" autoPict="0" macro="[0]!Ersatz_Eigenfertigungstiefe">
                <anchor moveWithCells="1" sizeWithCells="1">
                  <from>
                    <xdr:col>10</xdr:col>
                    <xdr:colOff>1912620</xdr:colOff>
                    <xdr:row>0</xdr:row>
                    <xdr:rowOff>83820</xdr:rowOff>
                  </from>
                  <to>
                    <xdr:col>10</xdr:col>
                    <xdr:colOff>2804160</xdr:colOff>
                    <xdr:row>0</xdr:row>
                    <xdr:rowOff>304800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B5FAA00E1E7DA4D88F60924A0302066" ma:contentTypeVersion="13" ma:contentTypeDescription="Create a new document." ma:contentTypeScope="" ma:versionID="0312d9087a7f601353ecb428ca4b69a4">
  <xsd:schema xmlns:xsd="http://www.w3.org/2001/XMLSchema" xmlns:xs="http://www.w3.org/2001/XMLSchema" xmlns:p="http://schemas.microsoft.com/office/2006/metadata/properties" xmlns:ns2="8eb42533-f5f7-40a4-ba19-24b8aa0e27f7" xmlns:ns3="114d57c3-6a4d-413e-a8ee-956960c313eb" targetNamespace="http://schemas.microsoft.com/office/2006/metadata/properties" ma:root="true" ma:fieldsID="a0f926a855646a3a82217da2ee191586" ns2:_="" ns3:_="">
    <xsd:import namespace="8eb42533-f5f7-40a4-ba19-24b8aa0e27f7"/>
    <xsd:import namespace="114d57c3-6a4d-413e-a8ee-956960c313eb"/>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3:_Flow_SignoffStatus"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eb42533-f5f7-40a4-ba19-24b8aa0e27f7"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14d57c3-6a4d-413e-a8ee-956960c313eb"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_Flow_SignoffStatus" ma:index="18" nillable="true" ma:displayName="Sign-off status" ma:internalName="Sign_x002d_off_x0020_status">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Flow_SignoffStatus xmlns="114d57c3-6a4d-413e-a8ee-956960c313eb"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C91B1BD-C8F7-4138-A640-D4BAF863A6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eb42533-f5f7-40a4-ba19-24b8aa0e27f7"/>
    <ds:schemaRef ds:uri="114d57c3-6a4d-413e-a8ee-956960c313e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D6DBE2E-18D8-40E7-971C-BD255CF81CEA}">
  <ds:schemaRefs>
    <ds:schemaRef ds:uri="http://schemas.microsoft.com/office/2006/metadata/properties"/>
    <ds:schemaRef ds:uri="http://schemas.microsoft.com/office/infopath/2007/PartnerControls"/>
    <ds:schemaRef ds:uri="114d57c3-6a4d-413e-a8ee-956960c313eb"/>
  </ds:schemaRefs>
</ds:datastoreItem>
</file>

<file path=customXml/itemProps3.xml><?xml version="1.0" encoding="utf-8"?>
<ds:datastoreItem xmlns:ds="http://schemas.openxmlformats.org/officeDocument/2006/customXml" ds:itemID="{8D990590-FF2E-47CF-8102-82012F06ECE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6</vt:i4>
      </vt:variant>
    </vt:vector>
  </HeadingPairs>
  <TitlesOfParts>
    <vt:vector size="16" baseType="lpstr">
      <vt:lpstr>Anwendungshinweis</vt:lpstr>
      <vt:lpstr>Wertungsmatrix</vt:lpstr>
      <vt:lpstr>Berechnungsbeispiel</vt:lpstr>
      <vt:lpstr>Kriterium Preis</vt:lpstr>
      <vt:lpstr>Block 1</vt:lpstr>
      <vt:lpstr>Block 2</vt:lpstr>
      <vt:lpstr>Block 3</vt:lpstr>
      <vt:lpstr>Block 4</vt:lpstr>
      <vt:lpstr>Block 5</vt:lpstr>
      <vt:lpstr>Wertungsmatrix Reserve</vt:lpstr>
      <vt:lpstr>Anwendungshinweis!Druckbereich</vt:lpstr>
      <vt:lpstr>Berechnungsbeispiel!Druckbereich</vt:lpstr>
      <vt:lpstr>'Kriterium Preis'!Druckbereich</vt:lpstr>
      <vt:lpstr>Wertungsmatrix!Druckbereich</vt:lpstr>
      <vt:lpstr>'Wertungsmatrix Reserve'!Druckbereich</vt:lpstr>
      <vt:lpstr>Wertungsmatrix!Drucktitel</vt:lpstr>
    </vt:vector>
  </TitlesOfParts>
  <Manager/>
  <Company>Deutsche Bahn AG</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DanielaSchaefer</dc:creator>
  <cp:keywords/>
  <dc:description/>
  <cp:lastModifiedBy>Eugen E Gabriel</cp:lastModifiedBy>
  <cp:revision/>
  <dcterms:created xsi:type="dcterms:W3CDTF">2010-10-04T11:59:38Z</dcterms:created>
  <dcterms:modified xsi:type="dcterms:W3CDTF">2021-11-24T19:41:36Z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0x0101002B5FAA00E1E7DA4D88F60924A0302066</vt:lpwstr>
  </property>
</Properties>
</file>